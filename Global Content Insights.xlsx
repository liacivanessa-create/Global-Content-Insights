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\Desktop\Vanessa\DATASET\"/>
    </mc:Choice>
  </mc:AlternateContent>
  <xr:revisionPtr revIDLastSave="0" documentId="13_ncr:1_{33988429-870E-4E7A-BCDD-99208ED35597}" xr6:coauthVersionLast="47" xr6:coauthVersionMax="47" xr10:uidLastSave="{00000000-0000-0000-0000-000000000000}"/>
  <bookViews>
    <workbookView xWindow="10815" yWindow="705" windowWidth="17385" windowHeight="15090" activeTab="3" xr2:uid="{217A1AC1-8106-45B7-BC05-A0E31E2C3C67}"/>
  </bookViews>
  <sheets>
    <sheet name="Sheet1" sheetId="2" r:id="rId1"/>
    <sheet name="Sheet2" sheetId="3" r:id="rId2"/>
    <sheet name="01_Netflix_2016_2025" sheetId="1" r:id="rId3"/>
    <sheet name="Dashboard" sheetId="4" r:id="rId4"/>
  </sheets>
  <calcPr calcId="191029"/>
  <pivotCaches>
    <pivotCache cacheId="0" r:id="rId5"/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T2" i="1"/>
  <c r="Q2" i="1"/>
  <c r="L202" i="1"/>
  <c r="S2" i="1"/>
  <c r="R2" i="1"/>
  <c r="P4" i="1"/>
  <c r="P2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</calcChain>
</file>

<file path=xl/sharedStrings.xml><?xml version="1.0" encoding="utf-8"?>
<sst xmlns="http://schemas.openxmlformats.org/spreadsheetml/2006/main" count="1461" uniqueCount="1013">
  <si>
    <t>Year</t>
  </si>
  <si>
    <t>Title</t>
  </si>
  <si>
    <t>IMDb</t>
  </si>
  <si>
    <t>Viewership</t>
  </si>
  <si>
    <t>Directors/Creators</t>
  </si>
  <si>
    <t>Lead Actors</t>
  </si>
  <si>
    <t>Release Date</t>
  </si>
  <si>
    <t>Duration</t>
  </si>
  <si>
    <t>Country</t>
  </si>
  <si>
    <t>Genre</t>
  </si>
  <si>
    <t>Orange Is the New Black</t>
  </si>
  <si>
    <t>23.0M Streams</t>
  </si>
  <si>
    <t>Jenji Kohan</t>
  </si>
  <si>
    <t>Taylor Schilling, Uzo Aduba</t>
  </si>
  <si>
    <t>S4; 730 min</t>
  </si>
  <si>
    <t>USA</t>
  </si>
  <si>
    <t xml:space="preserve">Comedy Drama </t>
  </si>
  <si>
    <t>Stranger Things</t>
  </si>
  <si>
    <t>21.7M Streams</t>
  </si>
  <si>
    <t>The Duffer Brothers</t>
  </si>
  <si>
    <t>Winona Ryder, Millie Bobby Brown</t>
  </si>
  <si>
    <t>S1; 400 min</t>
  </si>
  <si>
    <t xml:space="preserve">Sci-Fi / Horror </t>
  </si>
  <si>
    <t>Fuller House</t>
  </si>
  <si>
    <t>21.5M Streams</t>
  </si>
  <si>
    <t>Jeff Franklin</t>
  </si>
  <si>
    <t>Candace Cameron Bure, Jodie Sweetin</t>
  </si>
  <si>
    <t>S1; 390 min</t>
  </si>
  <si>
    <t xml:space="preserve">Sitcom / Comedy </t>
  </si>
  <si>
    <t>Marvel's Luke Cage</t>
  </si>
  <si>
    <t>12.1M Streams</t>
  </si>
  <si>
    <t>Cheo Hodari Coker</t>
  </si>
  <si>
    <t>Mike Colter, Alfre Woodard</t>
  </si>
  <si>
    <t>S1; 715 min</t>
  </si>
  <si>
    <t>Action / Superhero</t>
  </si>
  <si>
    <t>Marvel's Daredevil</t>
  </si>
  <si>
    <t>11.6M Streams</t>
  </si>
  <si>
    <t>Drew Goddard</t>
  </si>
  <si>
    <t>Charlie Cox, Deborah Ann Woll</t>
  </si>
  <si>
    <t>S2; 650 min</t>
  </si>
  <si>
    <t>Superhero</t>
  </si>
  <si>
    <t>The Crown</t>
  </si>
  <si>
    <t>7.0M Streams</t>
  </si>
  <si>
    <t>Peter Morgan</t>
  </si>
  <si>
    <t>Claire Foy, Matt Smith</t>
  </si>
  <si>
    <t>S1; 600 min</t>
  </si>
  <si>
    <t>UK/USA</t>
  </si>
  <si>
    <t xml:space="preserve">Biography / History </t>
  </si>
  <si>
    <t>Gilmore Girls: AYITL</t>
  </si>
  <si>
    <t>6.3M Streams</t>
  </si>
  <si>
    <t>Amy Sherman-Palladino</t>
  </si>
  <si>
    <t>Lauren Graham, Alexis Bledel</t>
  </si>
  <si>
    <t>4 Eps; 360 min</t>
  </si>
  <si>
    <t xml:space="preserve">Family Drama </t>
  </si>
  <si>
    <t>The Ranch</t>
  </si>
  <si>
    <t>5.8M Streams</t>
  </si>
  <si>
    <t>Don Reo</t>
  </si>
  <si>
    <t>Ashton Kutcher, Sam Elliott</t>
  </si>
  <si>
    <t>P1; 300 min</t>
  </si>
  <si>
    <t>Comedy / Sitcom</t>
  </si>
  <si>
    <t>11.22.63</t>
  </si>
  <si>
    <t>5.3M Streams</t>
  </si>
  <si>
    <t>Bridget Carpenter</t>
  </si>
  <si>
    <t>James Franco, Sarah Gadon</t>
  </si>
  <si>
    <t>8 Eps; 440 min</t>
  </si>
  <si>
    <t xml:space="preserve">Sci-Fi </t>
  </si>
  <si>
    <t>4.5M Streams</t>
  </si>
  <si>
    <t>Pedro Aguilera</t>
  </si>
  <si>
    <t>Bianca Comparato</t>
  </si>
  <si>
    <t>S1; 380 min</t>
  </si>
  <si>
    <t>Brazil</t>
  </si>
  <si>
    <t xml:space="preserve">Sci-Fi / Drama </t>
  </si>
  <si>
    <t>Love</t>
  </si>
  <si>
    <t>4.0M Streams</t>
  </si>
  <si>
    <t>Judd Apatow</t>
  </si>
  <si>
    <t>Gillian Jacobs, Paul Rust</t>
  </si>
  <si>
    <t>S1; 300 min</t>
  </si>
  <si>
    <t xml:space="preserve">Romance / Comedy </t>
  </si>
  <si>
    <t>Narcos</t>
  </si>
  <si>
    <t>3.8M Streams</t>
  </si>
  <si>
    <t>Chris Brancato</t>
  </si>
  <si>
    <t>Wagner Moura, Pedro Pascal</t>
  </si>
  <si>
    <t>S2; 500 min</t>
  </si>
  <si>
    <t>USA/Colombia</t>
  </si>
  <si>
    <t xml:space="preserve">Crime Drama </t>
  </si>
  <si>
    <t>Black Mirror</t>
  </si>
  <si>
    <t>3.7M Streams</t>
  </si>
  <si>
    <t>Charlie Brooker</t>
  </si>
  <si>
    <t>Gugu Mbatha-Raw, Bryce Dallas Howard</t>
  </si>
  <si>
    <t>S3; 360 min</t>
  </si>
  <si>
    <t>UK</t>
  </si>
  <si>
    <t>Sci-Fi / Anthology</t>
  </si>
  <si>
    <t>Bloodline</t>
  </si>
  <si>
    <t>3.3M Streams</t>
  </si>
  <si>
    <t>Todd A. Kessler</t>
  </si>
  <si>
    <t>Kyle Chandler, Ben Mendelsohn</t>
  </si>
  <si>
    <t>S2; 600 min</t>
  </si>
  <si>
    <t xml:space="preserve">Thriller / Drama </t>
  </si>
  <si>
    <t>Longmire</t>
  </si>
  <si>
    <t>3.2M Streams</t>
  </si>
  <si>
    <t>John Coveny</t>
  </si>
  <si>
    <t>Robert Taylor, Katee Sackhoff</t>
  </si>
  <si>
    <t>S5; 600 min</t>
  </si>
  <si>
    <t>Chelsea Does</t>
  </si>
  <si>
    <t>2.7M Streams</t>
  </si>
  <si>
    <t>Eddie Schmidt</t>
  </si>
  <si>
    <t>Chelsea Handler</t>
  </si>
  <si>
    <t>4 Eps; 240 min</t>
  </si>
  <si>
    <t xml:space="preserve">Documentary </t>
  </si>
  <si>
    <t>Flaked</t>
  </si>
  <si>
    <t>2.04M Streams</t>
  </si>
  <si>
    <t>Will Arnett</t>
  </si>
  <si>
    <t>Will Arnett, David Sullivan</t>
  </si>
  <si>
    <t>S1; 240 min</t>
  </si>
  <si>
    <t xml:space="preserve">Comedy / Drama </t>
  </si>
  <si>
    <t>BoJack Horseman</t>
  </si>
  <si>
    <t>2.0M Streams</t>
  </si>
  <si>
    <t>R. Bob-Waksberg</t>
  </si>
  <si>
    <t>Will Arnett, Aaron Paul</t>
  </si>
  <si>
    <t>S3; 300 min</t>
  </si>
  <si>
    <t>Adult Animation</t>
  </si>
  <si>
    <t>Marco Polo</t>
  </si>
  <si>
    <t>1.9M Streams</t>
  </si>
  <si>
    <t>John Fusco</t>
  </si>
  <si>
    <t>Lorenzo Richelmy, Benedict Wong</t>
  </si>
  <si>
    <t xml:space="preserve">Historical Drama </t>
  </si>
  <si>
    <t>Lady Dynamite</t>
  </si>
  <si>
    <t>1.8M Streams</t>
  </si>
  <si>
    <t>Maria Bamford</t>
  </si>
  <si>
    <t>Maria Bamford, Fred Melamed</t>
  </si>
  <si>
    <t>S1; 360 min</t>
  </si>
  <si>
    <t>Comedy</t>
  </si>
  <si>
    <t>13 Reasons Why</t>
  </si>
  <si>
    <t>475M Hours (S1)</t>
  </si>
  <si>
    <t>Brian Yorkey</t>
  </si>
  <si>
    <t>Dylan Minnette, Katherine Langford</t>
  </si>
  <si>
    <t>S1; 780 min</t>
  </si>
  <si>
    <t xml:space="preserve">Teen Drama / Mystery </t>
  </si>
  <si>
    <t>Money Heist</t>
  </si>
  <si>
    <t>426M Hours (P3)</t>
  </si>
  <si>
    <t>Álex Pina</t>
  </si>
  <si>
    <t>Álvaro Morte, Úrsula Corberó</t>
  </si>
  <si>
    <t>P1; 600 min</t>
  </si>
  <si>
    <t>Spain</t>
  </si>
  <si>
    <t xml:space="preserve">Heist / Crime </t>
  </si>
  <si>
    <t>American Vandal</t>
  </si>
  <si>
    <t>12.4M Views</t>
  </si>
  <si>
    <t>Tony Yacenda</t>
  </si>
  <si>
    <t>Tyler Alvarez, Griffin Gluck</t>
  </si>
  <si>
    <t xml:space="preserve">Satirical True Crime </t>
  </si>
  <si>
    <t>Ozark</t>
  </si>
  <si>
    <t>491M Hours (S4)</t>
  </si>
  <si>
    <t>Bill Dubuque</t>
  </si>
  <si>
    <t>Jason Bateman, Laura Linney</t>
  </si>
  <si>
    <t>Mindhunter</t>
  </si>
  <si>
    <t>15.5M Views</t>
  </si>
  <si>
    <t>Joe Penhall</t>
  </si>
  <si>
    <t>Jonathan Groff, Holt McCallany</t>
  </si>
  <si>
    <t>S1; 500 min</t>
  </si>
  <si>
    <t>Anne with an E</t>
  </si>
  <si>
    <t>7.4M Views</t>
  </si>
  <si>
    <t>Moira Walley-Beckett</t>
  </si>
  <si>
    <t>Amybeth McNulty</t>
  </si>
  <si>
    <t>S1; 330 min</t>
  </si>
  <si>
    <t>Canada</t>
  </si>
  <si>
    <t>4.5M Views (S1)</t>
  </si>
  <si>
    <t xml:space="preserve">Sci-Fi / Thriller </t>
  </si>
  <si>
    <t>Travelers</t>
  </si>
  <si>
    <t>7.1M Views</t>
  </si>
  <si>
    <t>Brad Wright</t>
  </si>
  <si>
    <t>Eric McCormack</t>
  </si>
  <si>
    <t>S1; 540 min</t>
  </si>
  <si>
    <t>Canada/USA</t>
  </si>
  <si>
    <t>Sci-Fi / Mystery</t>
  </si>
  <si>
    <t>The OA</t>
  </si>
  <si>
    <t>4.9M Views</t>
  </si>
  <si>
    <t>Brit Marling</t>
  </si>
  <si>
    <t>Brit Marling, Jason Isaacs</t>
  </si>
  <si>
    <t>P1; 480 min</t>
  </si>
  <si>
    <t xml:space="preserve">Sci-Fi / Mystery </t>
  </si>
  <si>
    <t>Ingobernable</t>
  </si>
  <si>
    <t>5.3M Views</t>
  </si>
  <si>
    <t>Epigmenio Ibarra</t>
  </si>
  <si>
    <t>Kate del Castillo</t>
  </si>
  <si>
    <t>S1; 450 min</t>
  </si>
  <si>
    <t>Mexico</t>
  </si>
  <si>
    <t>Political Drama</t>
  </si>
  <si>
    <t>The Keepers</t>
  </si>
  <si>
    <t>6.8M Views</t>
  </si>
  <si>
    <t>Ryan White</t>
  </si>
  <si>
    <t>Documentary</t>
  </si>
  <si>
    <t>7 Eps; 420 min</t>
  </si>
  <si>
    <t>True Crime Doc</t>
  </si>
  <si>
    <t>The Confession Tapes</t>
  </si>
  <si>
    <t>5.1M Views</t>
  </si>
  <si>
    <t>Kelly Loudenberg</t>
  </si>
  <si>
    <t>16B Minutes</t>
  </si>
  <si>
    <t>Big Mouth</t>
  </si>
  <si>
    <t>10.1M Views</t>
  </si>
  <si>
    <t>Nick Kroll</t>
  </si>
  <si>
    <t>Nick Kroll, John Mulaney</t>
  </si>
  <si>
    <t>Neo Yokio</t>
  </si>
  <si>
    <t>3.2M Views</t>
  </si>
  <si>
    <t>Ezra Koenig</t>
  </si>
  <si>
    <t>Jaden Smith, Jude Law</t>
  </si>
  <si>
    <t>S1; 140 min</t>
  </si>
  <si>
    <t>USA/Japan</t>
  </si>
  <si>
    <t xml:space="preserve">Adult Animation </t>
  </si>
  <si>
    <t>A Series of Unfortunate Events</t>
  </si>
  <si>
    <t>10.5M Views</t>
  </si>
  <si>
    <t>Barry Sonnenfeld</t>
  </si>
  <si>
    <t>Neil Patrick Harris</t>
  </si>
  <si>
    <t>Black Comedy</t>
  </si>
  <si>
    <t>GLOW</t>
  </si>
  <si>
    <t>8.5M Views</t>
  </si>
  <si>
    <t>Liz Flahive</t>
  </si>
  <si>
    <t>Alison Brie, Marc Maron</t>
  </si>
  <si>
    <t>Comedy / Drama</t>
  </si>
  <si>
    <t>Friends from College</t>
  </si>
  <si>
    <t>4.8M Views</t>
  </si>
  <si>
    <t>Nicholas Stoller</t>
  </si>
  <si>
    <t>Keegan-Michael Key</t>
  </si>
  <si>
    <t xml:space="preserve">Comedy </t>
  </si>
  <si>
    <t>Atypical</t>
  </si>
  <si>
    <t>8.1M Views</t>
  </si>
  <si>
    <t>Robia Rashid</t>
  </si>
  <si>
    <t>Keir Gilchrist, Jennifer Jason Leigh</t>
  </si>
  <si>
    <t xml:space="preserve">Coming-of-age </t>
  </si>
  <si>
    <t>Dear White People</t>
  </si>
  <si>
    <t>5.2M Views</t>
  </si>
  <si>
    <t>Justin Simien</t>
  </si>
  <si>
    <t>Logan Browning, Brandon P. Bell</t>
  </si>
  <si>
    <t>V1; 300 min</t>
  </si>
  <si>
    <t>Satire / Drama</t>
  </si>
  <si>
    <t>On My Block</t>
  </si>
  <si>
    <t>High Rewatch Rate</t>
  </si>
  <si>
    <t>Lauren Iungerich</t>
  </si>
  <si>
    <t>Sierra Capri, Jason Genao</t>
  </si>
  <si>
    <t>Coming-of-age</t>
  </si>
  <si>
    <t>Making a Murderer</t>
  </si>
  <si>
    <t>13.4M (S1)</t>
  </si>
  <si>
    <t>Laura Ricciardi</t>
  </si>
  <si>
    <t>Steven Avery</t>
  </si>
  <si>
    <t>P2; 600 min</t>
  </si>
  <si>
    <t>496M Hours (S2)</t>
  </si>
  <si>
    <t>Dylan Minnette</t>
  </si>
  <si>
    <t>S2; 780 min</t>
  </si>
  <si>
    <t xml:space="preserve">Teen Drama </t>
  </si>
  <si>
    <t>Last Chance U: Indy</t>
  </si>
  <si>
    <t>Greg Whiteley</t>
  </si>
  <si>
    <t>S3; 480 min</t>
  </si>
  <si>
    <t>Sports Doc</t>
  </si>
  <si>
    <t>Bodyguard</t>
  </si>
  <si>
    <t>14.2M Views</t>
  </si>
  <si>
    <t>Jed Mercurio</t>
  </si>
  <si>
    <t>Richard Madden</t>
  </si>
  <si>
    <t>Political Thriller</t>
  </si>
  <si>
    <t>Fastest Car</t>
  </si>
  <si>
    <t>6.5M Views</t>
  </si>
  <si>
    <t>Scott Weintrob</t>
  </si>
  <si>
    <t>Reality</t>
  </si>
  <si>
    <t>Reality / Auto</t>
  </si>
  <si>
    <t>The Haunting of Hill House</t>
  </si>
  <si>
    <t>15.7M Views</t>
  </si>
  <si>
    <t>Mike Flanagan</t>
  </si>
  <si>
    <t>Michiel Huisman, Carla Gugino</t>
  </si>
  <si>
    <t>10 Eps; 570 min</t>
  </si>
  <si>
    <t xml:space="preserve">Horror </t>
  </si>
  <si>
    <t>M. Walley-Beckett</t>
  </si>
  <si>
    <t>S2; 450 min</t>
  </si>
  <si>
    <t>Insatiable</t>
  </si>
  <si>
    <t>10.4M Views</t>
  </si>
  <si>
    <t>Lauren Gussis</t>
  </si>
  <si>
    <t>Debby Ryan</t>
  </si>
  <si>
    <t>Dark Comedy</t>
  </si>
  <si>
    <t>50M Views (S6)</t>
  </si>
  <si>
    <t>Taylor Schilling</t>
  </si>
  <si>
    <t>S6; 780 min</t>
  </si>
  <si>
    <t>Elite</t>
  </si>
  <si>
    <t>30M Views (S1)</t>
  </si>
  <si>
    <t>Carlos Montero</t>
  </si>
  <si>
    <t>Itzan Escamilla</t>
  </si>
  <si>
    <t xml:space="preserve">Teen Thriller </t>
  </si>
  <si>
    <t>Chilling Adventures of Sabrina</t>
  </si>
  <si>
    <t>11.5M Views</t>
  </si>
  <si>
    <t>R. Aguirre-Sacasa</t>
  </si>
  <si>
    <t>Kiernan Shipka</t>
  </si>
  <si>
    <t>P1; 500 min</t>
  </si>
  <si>
    <t xml:space="preserve">Supernatural Horror </t>
  </si>
  <si>
    <t>Narcos: Mexico</t>
  </si>
  <si>
    <t>12.8M Views</t>
  </si>
  <si>
    <t>Carlo Bernard</t>
  </si>
  <si>
    <t>Michael Peña, Diego Luna</t>
  </si>
  <si>
    <t>S1; 550 min</t>
  </si>
  <si>
    <t>USA/Mexico</t>
  </si>
  <si>
    <t>The Umbrella Academy</t>
  </si>
  <si>
    <t>45M Views (S1)</t>
  </si>
  <si>
    <t>Steve Blackman</t>
  </si>
  <si>
    <t>Elliot Page</t>
  </si>
  <si>
    <t xml:space="preserve">Superhero Action </t>
  </si>
  <si>
    <t>You</t>
  </si>
  <si>
    <t>40M Views (S1)</t>
  </si>
  <si>
    <t>Greg Berlanti</t>
  </si>
  <si>
    <t>Penn Badgley</t>
  </si>
  <si>
    <t>Psych Thriller</t>
  </si>
  <si>
    <t>Lost in Space</t>
  </si>
  <si>
    <t>11.2M Views</t>
  </si>
  <si>
    <t>Matt Sazama</t>
  </si>
  <si>
    <t>Toby Stephens</t>
  </si>
  <si>
    <t xml:space="preserve">Sci-Fi Adventure </t>
  </si>
  <si>
    <t>Hilda</t>
  </si>
  <si>
    <t>Luke Pearson</t>
  </si>
  <si>
    <t>Bella Ramsey</t>
  </si>
  <si>
    <t>UK/Canada</t>
  </si>
  <si>
    <t xml:space="preserve">Animation / Adventure </t>
  </si>
  <si>
    <t>Disenchantment</t>
  </si>
  <si>
    <t>Matt Groening</t>
  </si>
  <si>
    <t>Abbi Jacobson</t>
  </si>
  <si>
    <t>Seven Seconds</t>
  </si>
  <si>
    <t>Veena Sud</t>
  </si>
  <si>
    <t>Clare-Hope Ashitey</t>
  </si>
  <si>
    <t>10 Eps; 600 min</t>
  </si>
  <si>
    <t>Dogs</t>
  </si>
  <si>
    <t>Glen Zipper</t>
  </si>
  <si>
    <t>The Witcher</t>
  </si>
  <si>
    <t>541M Hours (S1)</t>
  </si>
  <si>
    <t>Lauren S. Hissrich</t>
  </si>
  <si>
    <t>Henry Cavill, Anya Chalotra</t>
  </si>
  <si>
    <t>S1; 480 min</t>
  </si>
  <si>
    <t>USA/Poland</t>
  </si>
  <si>
    <t xml:space="preserve">Fantasy Drama </t>
  </si>
  <si>
    <t>Stranger Things 3</t>
  </si>
  <si>
    <t>582M Hours</t>
  </si>
  <si>
    <t>Millie Bobby Brown</t>
  </si>
  <si>
    <t>S3; 440 min</t>
  </si>
  <si>
    <t>45M Views</t>
  </si>
  <si>
    <t>Elliot Page, Tom Hopper</t>
  </si>
  <si>
    <t>Sex Education</t>
  </si>
  <si>
    <t>Laurie Nunn</t>
  </si>
  <si>
    <t>Asa Butterfield, Gillian Anderson</t>
  </si>
  <si>
    <t>When They See Us</t>
  </si>
  <si>
    <t>25M Views</t>
  </si>
  <si>
    <t>Ava DuVernay</t>
  </si>
  <si>
    <t>Jharrel Jerome, Asante Blackk</t>
  </si>
  <si>
    <t>4 Eps; 296 min</t>
  </si>
  <si>
    <t xml:space="preserve">Drama / Legal </t>
  </si>
  <si>
    <t>Dead to Me</t>
  </si>
  <si>
    <t>Liz Feldman</t>
  </si>
  <si>
    <t>Christina Applegate, Linda Cardellini</t>
  </si>
  <si>
    <t xml:space="preserve">Black Comedy </t>
  </si>
  <si>
    <t>After Life</t>
  </si>
  <si>
    <t>18M Views (S1)</t>
  </si>
  <si>
    <t>Ricky Gervais</t>
  </si>
  <si>
    <t>S1; 180 min</t>
  </si>
  <si>
    <t>Kingdom</t>
  </si>
  <si>
    <t>12M Views (S1)</t>
  </si>
  <si>
    <t>Kim Seong-hun</t>
  </si>
  <si>
    <t>Ju Ji-hoon</t>
  </si>
  <si>
    <t>South Korea</t>
  </si>
  <si>
    <t>Period Zombie Horror</t>
  </si>
  <si>
    <t>Unbelievable</t>
  </si>
  <si>
    <t>44M Views</t>
  </si>
  <si>
    <t>Susannah Grant</t>
  </si>
  <si>
    <t>Toni Collette, Merritt Wever</t>
  </si>
  <si>
    <t>8 Eps; 400 min</t>
  </si>
  <si>
    <t>Russian Doll</t>
  </si>
  <si>
    <t>12.5M Views</t>
  </si>
  <si>
    <t>Natasha Lyonne</t>
  </si>
  <si>
    <t>S1; 200 min</t>
  </si>
  <si>
    <t xml:space="preserve">Sci-Fi / Comedy </t>
  </si>
  <si>
    <t>Our Planet</t>
  </si>
  <si>
    <t>33M Views</t>
  </si>
  <si>
    <t>Alastair Fothergill</t>
  </si>
  <si>
    <t>David Attenborough</t>
  </si>
  <si>
    <t xml:space="preserve">Nature Doc </t>
  </si>
  <si>
    <t>Love, Death &amp; Robots</t>
  </si>
  <si>
    <t>15M Views</t>
  </si>
  <si>
    <t>Tim Miller</t>
  </si>
  <si>
    <t>Anthology</t>
  </si>
  <si>
    <t>V1; 200 min</t>
  </si>
  <si>
    <t>Sci-Fi Anthology</t>
  </si>
  <si>
    <t>Peaky Blinders</t>
  </si>
  <si>
    <t>30M Views (S5)</t>
  </si>
  <si>
    <t>Steven Knight</t>
  </si>
  <si>
    <t>Cillian Murphy</t>
  </si>
  <si>
    <t>S5; 360 min</t>
  </si>
  <si>
    <t xml:space="preserve">Period Crime </t>
  </si>
  <si>
    <t>Criminal: UK</t>
  </si>
  <si>
    <t>George Kay</t>
  </si>
  <si>
    <t>David Tennant</t>
  </si>
  <si>
    <t>S1; 135 min</t>
  </si>
  <si>
    <t xml:space="preserve">Police Procedural </t>
  </si>
  <si>
    <t>Master of None</t>
  </si>
  <si>
    <t>Aziz Ansari</t>
  </si>
  <si>
    <t>S3; 150 min</t>
  </si>
  <si>
    <t>35M Views (S3)</t>
  </si>
  <si>
    <t>S3; 780 min</t>
  </si>
  <si>
    <t>Queer Eye</t>
  </si>
  <si>
    <t>10M Views (S3)</t>
  </si>
  <si>
    <t>David Collins</t>
  </si>
  <si>
    <t>Antoni Porowski</t>
  </si>
  <si>
    <t>Reality TV</t>
  </si>
  <si>
    <t>Altered Carbon</t>
  </si>
  <si>
    <t>8.3M Views (S1)</t>
  </si>
  <si>
    <t>Laeta Kalogridis</t>
  </si>
  <si>
    <t>Joel Kinnaman</t>
  </si>
  <si>
    <t xml:space="preserve">Sci-Fi / Cyberpunk </t>
  </si>
  <si>
    <t>11.2M Views (S2)</t>
  </si>
  <si>
    <t>S2; 550 min</t>
  </si>
  <si>
    <t>Grace and Frankie</t>
  </si>
  <si>
    <t>9.5M Views (S5)</t>
  </si>
  <si>
    <t>Marta Kauffman</t>
  </si>
  <si>
    <t>Jane Fonda, Lily Tomlin</t>
  </si>
  <si>
    <t>S5; 390 min</t>
  </si>
  <si>
    <t>Bridgerton</t>
  </si>
  <si>
    <t>113.3M Views</t>
  </si>
  <si>
    <t>Chris Van Dusen</t>
  </si>
  <si>
    <t>Phoebe Dynevor, Regé-Jean Page</t>
  </si>
  <si>
    <t>S1; 492 min</t>
  </si>
  <si>
    <t xml:space="preserve">Period Romance </t>
  </si>
  <si>
    <t>The Queen's Gambit</t>
  </si>
  <si>
    <t>112.8M Views</t>
  </si>
  <si>
    <t>Scott Frank</t>
  </si>
  <si>
    <t>Anya Taylor-Joy</t>
  </si>
  <si>
    <t>7 Eps; 393 min</t>
  </si>
  <si>
    <t xml:space="preserve">Period Drama </t>
  </si>
  <si>
    <t>Tiger King</t>
  </si>
  <si>
    <t>64M Views</t>
  </si>
  <si>
    <t>Eric Goode</t>
  </si>
  <si>
    <t>Joe Exotic</t>
  </si>
  <si>
    <t xml:space="preserve">True Crime Doc </t>
  </si>
  <si>
    <t>619M Hours (P4)</t>
  </si>
  <si>
    <t>Álvaro Morte</t>
  </si>
  <si>
    <t>P4; 400 min</t>
  </si>
  <si>
    <t>Emily in Paris</t>
  </si>
  <si>
    <t>58M Views</t>
  </si>
  <si>
    <t>Darren Star</t>
  </si>
  <si>
    <t>Lily Collins</t>
  </si>
  <si>
    <t>USA/France</t>
  </si>
  <si>
    <t xml:space="preserve">Rom-Com </t>
  </si>
  <si>
    <t>Outer Banks</t>
  </si>
  <si>
    <t>Josh Pate</t>
  </si>
  <si>
    <t>Chase Stokes, Madelyn Cline</t>
  </si>
  <si>
    <t xml:space="preserve">Teen Adventure </t>
  </si>
  <si>
    <t>Love Is Blind</t>
  </si>
  <si>
    <t>18.8M Points</t>
  </si>
  <si>
    <t>Chris Coelen</t>
  </si>
  <si>
    <t>Nick Lachey</t>
  </si>
  <si>
    <t xml:space="preserve">Dating Reality </t>
  </si>
  <si>
    <t>Never Have I Ever</t>
  </si>
  <si>
    <t>40M Views</t>
  </si>
  <si>
    <t>Mindy Kaling</t>
  </si>
  <si>
    <t>Maitreyi Ramakrishnan</t>
  </si>
  <si>
    <t>Ratched</t>
  </si>
  <si>
    <t>48M Views</t>
  </si>
  <si>
    <t>Ryan Murphy</t>
  </si>
  <si>
    <t>Sarah Paulson</t>
  </si>
  <si>
    <t xml:space="preserve">Psych Thriller </t>
  </si>
  <si>
    <t>Alice in Borderland</t>
  </si>
  <si>
    <t>46.6M Views</t>
  </si>
  <si>
    <t>Shinsuke Sato</t>
  </si>
  <si>
    <t>Kento Yamazaki</t>
  </si>
  <si>
    <t>Japan</t>
  </si>
  <si>
    <t xml:space="preserve">Survival Thriller </t>
  </si>
  <si>
    <t>43M Views (S2)</t>
  </si>
  <si>
    <t>Locke &amp; Key</t>
  </si>
  <si>
    <t>5.9M Points</t>
  </si>
  <si>
    <t>Carlton Cuse</t>
  </si>
  <si>
    <t>Darby Stanchfield</t>
  </si>
  <si>
    <t xml:space="preserve">Fantasy / Horror </t>
  </si>
  <si>
    <t>Space Force</t>
  </si>
  <si>
    <t>Greg Daniels</t>
  </si>
  <si>
    <t>Steve Carell</t>
  </si>
  <si>
    <t xml:space="preserve">Workplace Comedy </t>
  </si>
  <si>
    <t>Cocomelon</t>
  </si>
  <si>
    <t>61.4M Points</t>
  </si>
  <si>
    <t>Jay Jeon</t>
  </si>
  <si>
    <t>Animation</t>
  </si>
  <si>
    <t xml:space="preserve">Kids / Animation </t>
  </si>
  <si>
    <t>16.2B Minutes</t>
  </si>
  <si>
    <t>Olivia Colman, Gillian Anderson</t>
  </si>
  <si>
    <t>S4; 550 min</t>
  </si>
  <si>
    <t>18B Minutes (S3)</t>
  </si>
  <si>
    <t>S3; 600 min</t>
  </si>
  <si>
    <t>35M Views (S2)</t>
  </si>
  <si>
    <t>Asa Butterfield</t>
  </si>
  <si>
    <t>S2; 400 min</t>
  </si>
  <si>
    <t>Sweet Magnolias</t>
  </si>
  <si>
    <t>6.0M Points</t>
  </si>
  <si>
    <t>Sheryl J. Anderson</t>
  </si>
  <si>
    <t>JoAnna Garcia Swisher</t>
  </si>
  <si>
    <t xml:space="preserve">Romance / Drama </t>
  </si>
  <si>
    <t>Unorthodox</t>
  </si>
  <si>
    <t>52M Views</t>
  </si>
  <si>
    <t>Anna Winger</t>
  </si>
  <si>
    <t>Shira Haas</t>
  </si>
  <si>
    <t>4 Eps; 213 min</t>
  </si>
  <si>
    <t>Germany</t>
  </si>
  <si>
    <t xml:space="preserve">Drama </t>
  </si>
  <si>
    <t>Schitt's Creek</t>
  </si>
  <si>
    <t>15B Minutes (S6)</t>
  </si>
  <si>
    <t>Dan Levy</t>
  </si>
  <si>
    <t>Eugene Levy, Catherine O'Hara</t>
  </si>
  <si>
    <t>S6; 320 min</t>
  </si>
  <si>
    <t xml:space="preserve">Sitcom </t>
  </si>
  <si>
    <t>Squid Game</t>
  </si>
  <si>
    <t>265.2M Views</t>
  </si>
  <si>
    <t>Hwang Dong-hyuk</t>
  </si>
  <si>
    <t>Lee Jung-jae, Jung Ho-yeon</t>
  </si>
  <si>
    <t>S1; 485 min</t>
  </si>
  <si>
    <t xml:space="preserve">Survival Drama </t>
  </si>
  <si>
    <t>Lupin</t>
  </si>
  <si>
    <t>76M Views (P1)</t>
  </si>
  <si>
    <t>Omar Sy</t>
  </si>
  <si>
    <t>P1; 225 min</t>
  </si>
  <si>
    <t>France</t>
  </si>
  <si>
    <t>Mystery Thriller</t>
  </si>
  <si>
    <t>Maid</t>
  </si>
  <si>
    <t>67M Views</t>
  </si>
  <si>
    <t>Molly Smith Metzler</t>
  </si>
  <si>
    <t>Margaret Qualley</t>
  </si>
  <si>
    <t>10 Eps; 544 min</t>
  </si>
  <si>
    <t>Sex/Life</t>
  </si>
  <si>
    <t>Stacy Rukeyser</t>
  </si>
  <si>
    <t>Sarah Shahi, Mike Vogel</t>
  </si>
  <si>
    <t xml:space="preserve">Drama / Romance </t>
  </si>
  <si>
    <t>792M Hours (P5)</t>
  </si>
  <si>
    <t>P5; 450 min</t>
  </si>
  <si>
    <t>Sweet Tooth</t>
  </si>
  <si>
    <t>60M Views</t>
  </si>
  <si>
    <t>Jim Mickle</t>
  </si>
  <si>
    <t>Christian Convery</t>
  </si>
  <si>
    <t>Ginny &amp; Georgia</t>
  </si>
  <si>
    <t>118.2M Views (S1)</t>
  </si>
  <si>
    <t>Sarah Lampert</t>
  </si>
  <si>
    <t>Brianne Howey</t>
  </si>
  <si>
    <t>S1; 587 min</t>
  </si>
  <si>
    <t>Fate: The Winx Saga</t>
  </si>
  <si>
    <t>57M Views</t>
  </si>
  <si>
    <t>Brian Young</t>
  </si>
  <si>
    <t>Abigail Cowen</t>
  </si>
  <si>
    <t>UK/Italy</t>
  </si>
  <si>
    <t xml:space="preserve">Teen Fantasy </t>
  </si>
  <si>
    <t>Shadow and Bone</t>
  </si>
  <si>
    <t>55M Views</t>
  </si>
  <si>
    <t>Eric Heisserer</t>
  </si>
  <si>
    <t>Jessie Mei Li, Ben Barnes</t>
  </si>
  <si>
    <t>55M Views (S3)</t>
  </si>
  <si>
    <t>S3; 450 min</t>
  </si>
  <si>
    <t>Arcane</t>
  </si>
  <si>
    <t>120M Hours</t>
  </si>
  <si>
    <t>Christian Linke</t>
  </si>
  <si>
    <t>Hailee Steinfeld</t>
  </si>
  <si>
    <t xml:space="preserve">Animation / Action </t>
  </si>
  <si>
    <t>Clickbait</t>
  </si>
  <si>
    <t>Tony Ayres</t>
  </si>
  <si>
    <t>Adrian Grenier</t>
  </si>
  <si>
    <t>8 Eps; 353 min</t>
  </si>
  <si>
    <t>Australia/USA</t>
  </si>
  <si>
    <t>Midnight Mass</t>
  </si>
  <si>
    <t>12.1M Views</t>
  </si>
  <si>
    <t>Zach Gilford, Hamish Linklater</t>
  </si>
  <si>
    <t>7 Eps; 440 min</t>
  </si>
  <si>
    <t>Supernatural Horror</t>
  </si>
  <si>
    <t>Hellbound</t>
  </si>
  <si>
    <t>142M Hours</t>
  </si>
  <si>
    <t>Yeon Sang-ho</t>
  </si>
  <si>
    <t>Yoo Ah-in</t>
  </si>
  <si>
    <t>Supernatural Thriller</t>
  </si>
  <si>
    <t>My Name</t>
  </si>
  <si>
    <t>3.1M Points</t>
  </si>
  <si>
    <t>Kim Jin-min</t>
  </si>
  <si>
    <t>Han So-hee</t>
  </si>
  <si>
    <t>1 Season; 400 min</t>
  </si>
  <si>
    <t>Crime Thriller</t>
  </si>
  <si>
    <t>D.P.</t>
  </si>
  <si>
    <t>3.2M Points</t>
  </si>
  <si>
    <t>Han Jun-hee</t>
  </si>
  <si>
    <t>Jung Hae-in</t>
  </si>
  <si>
    <t>Military Drama</t>
  </si>
  <si>
    <t>The Serpent</t>
  </si>
  <si>
    <t>31M Views</t>
  </si>
  <si>
    <t>Richard Warlow</t>
  </si>
  <si>
    <t>Tahar Rahim, Jenna Coleman</t>
  </si>
  <si>
    <t>8 Eps; 464 min</t>
  </si>
  <si>
    <t xml:space="preserve">True Crime Drama </t>
  </si>
  <si>
    <t>Behind Her Eyes</t>
  </si>
  <si>
    <t>38M Views</t>
  </si>
  <si>
    <t>Steve Lightfoot</t>
  </si>
  <si>
    <t>Simona Brown, Eve Hewson</t>
  </si>
  <si>
    <t>6 Eps; 300 min</t>
  </si>
  <si>
    <t>Cowboy Bebop</t>
  </si>
  <si>
    <t>Christopher Yost</t>
  </si>
  <si>
    <t>John Cho</t>
  </si>
  <si>
    <t xml:space="preserve">Sci-Fi / Western </t>
  </si>
  <si>
    <t>Archive 81</t>
  </si>
  <si>
    <t>7,967 Points</t>
  </si>
  <si>
    <t>Rebecca Sonnenshine</t>
  </si>
  <si>
    <t>Mamoudou Athie</t>
  </si>
  <si>
    <t xml:space="preserve">Horror / Mystery </t>
  </si>
  <si>
    <t>Wednesday</t>
  </si>
  <si>
    <t>252.1M Views</t>
  </si>
  <si>
    <t>Tim Burton</t>
  </si>
  <si>
    <t>Jenna Ortega</t>
  </si>
  <si>
    <t>S1; 409 min</t>
  </si>
  <si>
    <t xml:space="preserve">Supernatural Mystery </t>
  </si>
  <si>
    <t>Stranger Things 4</t>
  </si>
  <si>
    <t>140.7M Views</t>
  </si>
  <si>
    <t>9 Eps; 784 min</t>
  </si>
  <si>
    <t>DAHMER</t>
  </si>
  <si>
    <t>115.6M Views</t>
  </si>
  <si>
    <t>Evan Peters</t>
  </si>
  <si>
    <t>10 Eps; 535 min</t>
  </si>
  <si>
    <t xml:space="preserve">True Crime / Drama </t>
  </si>
  <si>
    <t>All of Us Are Dead</t>
  </si>
  <si>
    <t>679M Hours</t>
  </si>
  <si>
    <t>Lee JQ</t>
  </si>
  <si>
    <t>Park Ji-hu</t>
  </si>
  <si>
    <t>S1; 709 min</t>
  </si>
  <si>
    <t xml:space="preserve">Zombie Horror </t>
  </si>
  <si>
    <t>Inventing Anna</t>
  </si>
  <si>
    <t>511M Hours</t>
  </si>
  <si>
    <t>Shonda Rhimes</t>
  </si>
  <si>
    <t>Julia Garner</t>
  </si>
  <si>
    <t>9 Eps; 602 min</t>
  </si>
  <si>
    <t>Jason Bateman</t>
  </si>
  <si>
    <t>S4; 600 min</t>
  </si>
  <si>
    <t>Bridgerton 2</t>
  </si>
  <si>
    <t>656M Hours</t>
  </si>
  <si>
    <t>Jonathan Bailey, Simone Ashley</t>
  </si>
  <si>
    <t>8 Eps; 510 min</t>
  </si>
  <si>
    <t>The Sandman</t>
  </si>
  <si>
    <t>396M Hours</t>
  </si>
  <si>
    <t>Neil Gaiman</t>
  </si>
  <si>
    <t>Tom Sturridge</t>
  </si>
  <si>
    <t>S1; 574 min</t>
  </si>
  <si>
    <t>USA/UK</t>
  </si>
  <si>
    <t>Extraordinary Attorney Woo</t>
  </si>
  <si>
    <t>402M Hours</t>
  </si>
  <si>
    <t>Yoo In-shik</t>
  </si>
  <si>
    <t>Park Eun-bin</t>
  </si>
  <si>
    <t>S1; 1120 min</t>
  </si>
  <si>
    <t xml:space="preserve">Legal Drama </t>
  </si>
  <si>
    <t>Manifest</t>
  </si>
  <si>
    <t>53,337 Points</t>
  </si>
  <si>
    <t>Jeff Rake</t>
  </si>
  <si>
    <t>Melissa Roxburgh</t>
  </si>
  <si>
    <t>S4; 500 min</t>
  </si>
  <si>
    <t>The Watcher</t>
  </si>
  <si>
    <t>79.6M Views</t>
  </si>
  <si>
    <t>Naomi Watts</t>
  </si>
  <si>
    <t>S1; 342 min</t>
  </si>
  <si>
    <t xml:space="preserve">Mystery / Thriller </t>
  </si>
  <si>
    <t>Heartstopper</t>
  </si>
  <si>
    <t>5M Views</t>
  </si>
  <si>
    <t>Alice Oseman</t>
  </si>
  <si>
    <t>Kit Connor, Joe Locke</t>
  </si>
  <si>
    <t>Teen Romance</t>
  </si>
  <si>
    <t>245M Hours</t>
  </si>
  <si>
    <t>Baran bo Odar</t>
  </si>
  <si>
    <t>Emily Beecham</t>
  </si>
  <si>
    <t>Cabinet of Curiosities</t>
  </si>
  <si>
    <t>6,322 Points</t>
  </si>
  <si>
    <t>G. del Toro</t>
  </si>
  <si>
    <t xml:space="preserve">Horror Anthology </t>
  </si>
  <si>
    <t>The Empress</t>
  </si>
  <si>
    <t>10,181 Points</t>
  </si>
  <si>
    <t>Katharina Eyssen</t>
  </si>
  <si>
    <t>Devrim Lingnau</t>
  </si>
  <si>
    <t>Shuroop (Queen's Umbrella)</t>
  </si>
  <si>
    <t>6,226 Points</t>
  </si>
  <si>
    <t>Kim Hyung-sik</t>
  </si>
  <si>
    <t>Kim Hye-soo</t>
  </si>
  <si>
    <t>1 Season; 960 min</t>
  </si>
  <si>
    <t>Little Women</t>
  </si>
  <si>
    <t>9,596 Points</t>
  </si>
  <si>
    <t>Kim Hee-won</t>
  </si>
  <si>
    <t>Kim Go-eun</t>
  </si>
  <si>
    <t>1 Season; 720 min</t>
  </si>
  <si>
    <t xml:space="preserve">Mystery / Drama </t>
  </si>
  <si>
    <t>Alchemy of Souls</t>
  </si>
  <si>
    <t>12.4M Points</t>
  </si>
  <si>
    <t>Park Joon-hwa</t>
  </si>
  <si>
    <t>Lee Jae-wook</t>
  </si>
  <si>
    <t>2 Parts; 1800 min</t>
  </si>
  <si>
    <t xml:space="preserve">Fantasy Romance </t>
  </si>
  <si>
    <t>The Recruit</t>
  </si>
  <si>
    <t>7,823 Points</t>
  </si>
  <si>
    <t>Alexi Hawley</t>
  </si>
  <si>
    <t>Noah Centineo</t>
  </si>
  <si>
    <t xml:space="preserve">Spy Adventure </t>
  </si>
  <si>
    <t>Devil in Ohio</t>
  </si>
  <si>
    <t>7,847 Points</t>
  </si>
  <si>
    <t>Daria Polatin</t>
  </si>
  <si>
    <t>Emily Deschanel</t>
  </si>
  <si>
    <t>8 Eps; 360 min</t>
  </si>
  <si>
    <t>The Night Agent</t>
  </si>
  <si>
    <t>99.2M Views</t>
  </si>
  <si>
    <t>Shawn Ryan</t>
  </si>
  <si>
    <t>Gabriel Basso</t>
  </si>
  <si>
    <t>S1; 491 min</t>
  </si>
  <si>
    <t xml:space="preserve">Action Thriller </t>
  </si>
  <si>
    <t>One Piece</t>
  </si>
  <si>
    <t>71.6M Views</t>
  </si>
  <si>
    <t>Matt Owens</t>
  </si>
  <si>
    <t>Iñaki Godoy</t>
  </si>
  <si>
    <t>S1; 451 min</t>
  </si>
  <si>
    <t>Action Adventure</t>
  </si>
  <si>
    <t>Queen Charlotte</t>
  </si>
  <si>
    <t>77.6M Views</t>
  </si>
  <si>
    <t>India Amarteifio</t>
  </si>
  <si>
    <t>6 Eps; 389 min</t>
  </si>
  <si>
    <t xml:space="preserve">Period Drama / Rom </t>
  </si>
  <si>
    <t>The Glory</t>
  </si>
  <si>
    <t>43.7M Views</t>
  </si>
  <si>
    <t>Kim Eun-sook</t>
  </si>
  <si>
    <t>Song Hye-kyo</t>
  </si>
  <si>
    <t>P1/2; 856 min</t>
  </si>
  <si>
    <t xml:space="preserve">Revenge Thriller </t>
  </si>
  <si>
    <t>The Diplomat</t>
  </si>
  <si>
    <t>52.1M Views</t>
  </si>
  <si>
    <t>Deborah Cahn</t>
  </si>
  <si>
    <t>Keri Russell</t>
  </si>
  <si>
    <t xml:space="preserve">Political Drama </t>
  </si>
  <si>
    <t>Ginny &amp; Georgia 2</t>
  </si>
  <si>
    <t>68M Views</t>
  </si>
  <si>
    <t>S2; 587 min</t>
  </si>
  <si>
    <t>You 4</t>
  </si>
  <si>
    <t>53.2M Views</t>
  </si>
  <si>
    <t>Sera Gamble</t>
  </si>
  <si>
    <t>S4; 497 min</t>
  </si>
  <si>
    <t>Outer Banks 3</t>
  </si>
  <si>
    <t>45.3M Views</t>
  </si>
  <si>
    <t>Chase Stokes</t>
  </si>
  <si>
    <t>S3; 533 min</t>
  </si>
  <si>
    <t>Beckham</t>
  </si>
  <si>
    <t>43.9M Views</t>
  </si>
  <si>
    <t>Fisher Stevens</t>
  </si>
  <si>
    <t>David Beckham</t>
  </si>
  <si>
    <t>4 Eps; 288 min</t>
  </si>
  <si>
    <t>Dear Child</t>
  </si>
  <si>
    <t>50.9M Views</t>
  </si>
  <si>
    <t>Isabel Kleefeld</t>
  </si>
  <si>
    <t>Kim Riedle</t>
  </si>
  <si>
    <t>6 Eps; 288 min</t>
  </si>
  <si>
    <t>Crime / Thriller</t>
  </si>
  <si>
    <t>Berlin</t>
  </si>
  <si>
    <t>56.7M Views</t>
  </si>
  <si>
    <t>Pedro Alonso</t>
  </si>
  <si>
    <t>S1; 424 min</t>
  </si>
  <si>
    <t>Heist / Crime</t>
  </si>
  <si>
    <t>Bodies</t>
  </si>
  <si>
    <t>15.3M Views</t>
  </si>
  <si>
    <t>Paul Tomalin</t>
  </si>
  <si>
    <t>Stephen Graham</t>
  </si>
  <si>
    <t>8 Eps; 480 min</t>
  </si>
  <si>
    <t>Sci-Fi / Crime</t>
  </si>
  <si>
    <t>Blue Eye Samurai</t>
  </si>
  <si>
    <t>Michael Green</t>
  </si>
  <si>
    <t>Maya Erskine</t>
  </si>
  <si>
    <t>Beef</t>
  </si>
  <si>
    <t>Lee Sung Jin</t>
  </si>
  <si>
    <t>Steven Yeun, Ali Wong</t>
  </si>
  <si>
    <t>S1; 346 min</t>
  </si>
  <si>
    <t>Dark Comedy / Drama</t>
  </si>
  <si>
    <t>Love Is Blind 4</t>
  </si>
  <si>
    <t>21M Views</t>
  </si>
  <si>
    <t>Black Mirror 6</t>
  </si>
  <si>
    <t>Aaron Paul</t>
  </si>
  <si>
    <t>5 Eps; 300 min</t>
  </si>
  <si>
    <t>Fake Profile</t>
  </si>
  <si>
    <t>20M Views</t>
  </si>
  <si>
    <t>Pablo Illanes</t>
  </si>
  <si>
    <t>Carolina Miranda</t>
  </si>
  <si>
    <t>Colombia</t>
  </si>
  <si>
    <t>Mystery / Drama</t>
  </si>
  <si>
    <t>My Demon</t>
  </si>
  <si>
    <t>17.7M Views</t>
  </si>
  <si>
    <t>Choi Ah-il</t>
  </si>
  <si>
    <t>Kim Yoo-jung</t>
  </si>
  <si>
    <t>S1; 1055 min</t>
  </si>
  <si>
    <t>Fantasy Romance</t>
  </si>
  <si>
    <t>Arnold</t>
  </si>
  <si>
    <t>Lesley Chilcott</t>
  </si>
  <si>
    <t>A. Schwarzenegger</t>
  </si>
  <si>
    <t>3 Eps; 180 min</t>
  </si>
  <si>
    <t>Cunk on Earth</t>
  </si>
  <si>
    <t>Diane Morgan</t>
  </si>
  <si>
    <t>5 Eps; 150 min</t>
  </si>
  <si>
    <t>Mockumentary</t>
  </si>
  <si>
    <t>Fool Me Once</t>
  </si>
  <si>
    <t>107.5M Views</t>
  </si>
  <si>
    <t>Danny Brocklehurst</t>
  </si>
  <si>
    <t>Michelle Keegan</t>
  </si>
  <si>
    <t>8 Eps; 385 min</t>
  </si>
  <si>
    <t>Crime / Mystery</t>
  </si>
  <si>
    <t>Baby Reindeer</t>
  </si>
  <si>
    <t>87.6M Views</t>
  </si>
  <si>
    <t>Richard Gadd</t>
  </si>
  <si>
    <t>7 Eps; 238 min</t>
  </si>
  <si>
    <t>Squid Game 2</t>
  </si>
  <si>
    <t>192.6M Views</t>
  </si>
  <si>
    <t>Lee Jung-jae</t>
  </si>
  <si>
    <t>S2; 430 min</t>
  </si>
  <si>
    <t>Bridgerton 3</t>
  </si>
  <si>
    <t>106M Views</t>
  </si>
  <si>
    <t>Jess Brownell</t>
  </si>
  <si>
    <t>Nicola Coughlan</t>
  </si>
  <si>
    <t>S3; 479 min</t>
  </si>
  <si>
    <t>The Gentlemen</t>
  </si>
  <si>
    <t>75.9M Views</t>
  </si>
  <si>
    <t>Guy Ritchie</t>
  </si>
  <si>
    <t>Theo James</t>
  </si>
  <si>
    <t>S1; 401 min</t>
  </si>
  <si>
    <t>Crime Comedy</t>
  </si>
  <si>
    <t>Avatar: Airbender</t>
  </si>
  <si>
    <t>71.1M Views</t>
  </si>
  <si>
    <t>Albert Kim</t>
  </si>
  <si>
    <t>Gordon Cormier</t>
  </si>
  <si>
    <t>S1; 435 min</t>
  </si>
  <si>
    <t>Fantasy / Action</t>
  </si>
  <si>
    <t>Griselda</t>
  </si>
  <si>
    <t>69.2M Views</t>
  </si>
  <si>
    <t>Doug Miro</t>
  </si>
  <si>
    <t>Sofía Vergara</t>
  </si>
  <si>
    <t>6 Eps; 332 min</t>
  </si>
  <si>
    <t>Biography / Crime</t>
  </si>
  <si>
    <t>3 Body Problem</t>
  </si>
  <si>
    <t>52.4M Views</t>
  </si>
  <si>
    <t>D. Benioff, D.B. Weiss</t>
  </si>
  <si>
    <t>Jovan Adepo</t>
  </si>
  <si>
    <t>S1; 444 min</t>
  </si>
  <si>
    <t>Science Fiction</t>
  </si>
  <si>
    <t>The Perfect Couple</t>
  </si>
  <si>
    <t>75.1M Views</t>
  </si>
  <si>
    <t>Susanne Bier</t>
  </si>
  <si>
    <t>Nicole Kidman</t>
  </si>
  <si>
    <t>6 Eps; 306 min</t>
  </si>
  <si>
    <t>One Day</t>
  </si>
  <si>
    <t>39.4M Views</t>
  </si>
  <si>
    <t>Nicole Taylor</t>
  </si>
  <si>
    <t>Ambika Mod</t>
  </si>
  <si>
    <t>14 Eps; 400 min</t>
  </si>
  <si>
    <t>Romance / Drama</t>
  </si>
  <si>
    <t>48.5M Views</t>
  </si>
  <si>
    <t>The Asunta Case</t>
  </si>
  <si>
    <t>30.7M Views</t>
  </si>
  <si>
    <t>Ramón Campos</t>
  </si>
  <si>
    <t>Candela Peña</t>
  </si>
  <si>
    <t>6 Eps; 325 min</t>
  </si>
  <si>
    <t>True Crime Drama</t>
  </si>
  <si>
    <t>Under Paris</t>
  </si>
  <si>
    <t>84.7M Views</t>
  </si>
  <si>
    <t>Xavier Gens</t>
  </si>
  <si>
    <t>Bérénice Bejo</t>
  </si>
  <si>
    <t>Webfilm; 104 min</t>
  </si>
  <si>
    <t>Action Horror</t>
  </si>
  <si>
    <t>La Palma</t>
  </si>
  <si>
    <t>31.4M Views</t>
  </si>
  <si>
    <t>Kasper Barfoed</t>
  </si>
  <si>
    <t>Ane Dahl Torp</t>
  </si>
  <si>
    <t>1 Season; 184 min</t>
  </si>
  <si>
    <t>Norway</t>
  </si>
  <si>
    <t>Disaster Drama</t>
  </si>
  <si>
    <t>Raising Voices</t>
  </si>
  <si>
    <t>25.4M Views</t>
  </si>
  <si>
    <t>José Manuel Lorenzo</t>
  </si>
  <si>
    <t>Nicole Wallace</t>
  </si>
  <si>
    <t>8 Eps; 363 min</t>
  </si>
  <si>
    <t>Teen Drama</t>
  </si>
  <si>
    <t>Parasyte: The Grey</t>
  </si>
  <si>
    <t>Jeon So-nee</t>
  </si>
  <si>
    <t>Sci-Fi / Horror</t>
  </si>
  <si>
    <t>Queen of Tears</t>
  </si>
  <si>
    <t>29.2M Views</t>
  </si>
  <si>
    <t>Park Ji-eun</t>
  </si>
  <si>
    <t>Kim Soo-hyun</t>
  </si>
  <si>
    <t>16 Eps; 1402 min</t>
  </si>
  <si>
    <t>Romance Drama</t>
  </si>
  <si>
    <t>Vikings: Valhalla 3</t>
  </si>
  <si>
    <t>Jeb Stuart</t>
  </si>
  <si>
    <t>Sam Corlett</t>
  </si>
  <si>
    <t>S3; 400 min</t>
  </si>
  <si>
    <t>The Brothers Sun</t>
  </si>
  <si>
    <t>23.9M Views</t>
  </si>
  <si>
    <t>Byron Wu</t>
  </si>
  <si>
    <t>Michelle Yeoh</t>
  </si>
  <si>
    <t>S1; 440 min</t>
  </si>
  <si>
    <t>Action / Comedy</t>
  </si>
  <si>
    <t>Furies</t>
  </si>
  <si>
    <t>23.3M Views</t>
  </si>
  <si>
    <t>Jean-Yves Arnaud</t>
  </si>
  <si>
    <t>Lina El Arabi</t>
  </si>
  <si>
    <t>Action / Crime</t>
  </si>
  <si>
    <t>Adolescence</t>
  </si>
  <si>
    <t>142.6M Views</t>
  </si>
  <si>
    <t>Philip Barantini</t>
  </si>
  <si>
    <t>Owen Cooper</t>
  </si>
  <si>
    <t>1 Season; 230 min</t>
  </si>
  <si>
    <t>Squid Game 3</t>
  </si>
  <si>
    <t>145.8M Views</t>
  </si>
  <si>
    <t>S3; 368 min</t>
  </si>
  <si>
    <t>Stranger Things 5</t>
  </si>
  <si>
    <t>133.8M Views</t>
  </si>
  <si>
    <t>Millie B. Brown</t>
  </si>
  <si>
    <t>S5; 624 min</t>
  </si>
  <si>
    <t>Wednesday 2</t>
  </si>
  <si>
    <t>124M Views</t>
  </si>
  <si>
    <t>S2; 467 min</t>
  </si>
  <si>
    <t>KPop Demon Hunters</t>
  </si>
  <si>
    <t>482M Views</t>
  </si>
  <si>
    <t>Maggie Kang, Chris Appelhans</t>
  </si>
  <si>
    <t>Animation/Music</t>
  </si>
  <si>
    <t>Webseries; 400 min</t>
  </si>
  <si>
    <t xml:space="preserve">Musical Fantasy </t>
  </si>
  <si>
    <t>Zero Day</t>
  </si>
  <si>
    <t>61.3M Views</t>
  </si>
  <si>
    <t>Lesli Linka Glatter</t>
  </si>
  <si>
    <t>Robert De Niro</t>
  </si>
  <si>
    <t>6 Eps; 309 min</t>
  </si>
  <si>
    <t>Missing You</t>
  </si>
  <si>
    <t>Rosalind Eleazar</t>
  </si>
  <si>
    <t>1 Season; 226 min</t>
  </si>
  <si>
    <t>UNTAMED</t>
  </si>
  <si>
    <t>93M Views</t>
  </si>
  <si>
    <t>Mark L. Smith</t>
  </si>
  <si>
    <t>Eric Bana</t>
  </si>
  <si>
    <t>A House of Dynamite</t>
  </si>
  <si>
    <t>76M Views</t>
  </si>
  <si>
    <t>Kathryn Bigelow</t>
  </si>
  <si>
    <t>Idris Elba</t>
  </si>
  <si>
    <t>The Great Flood</t>
  </si>
  <si>
    <t>66M Views</t>
  </si>
  <si>
    <t>Kim Byung-woo</t>
  </si>
  <si>
    <t>Kim Da-mi</t>
  </si>
  <si>
    <t>1 Season; 450 min</t>
  </si>
  <si>
    <t xml:space="preserve">Science Fiction </t>
  </si>
  <si>
    <t>Ms. Rachel</t>
  </si>
  <si>
    <t>73M Views</t>
  </si>
  <si>
    <t>Rachel Griffin</t>
  </si>
  <si>
    <t>S1/2; 300 min</t>
  </si>
  <si>
    <t xml:space="preserve">Kids / Family </t>
  </si>
  <si>
    <t>Gabby's Dollhouse</t>
  </si>
  <si>
    <t>108M Views</t>
  </si>
  <si>
    <t>Traci Paige Johnson</t>
  </si>
  <si>
    <t>Laila Lockhart</t>
  </si>
  <si>
    <t>All Seasons; 1000 min</t>
  </si>
  <si>
    <t>When Life Tangerines</t>
  </si>
  <si>
    <t>34.8M Views</t>
  </si>
  <si>
    <t>Kim Won-seok</t>
  </si>
  <si>
    <t>IU, Park Bo-gum</t>
  </si>
  <si>
    <t>1 Season; 995 min</t>
  </si>
  <si>
    <t>Trauma Code: Heroes</t>
  </si>
  <si>
    <t>34.1M Views</t>
  </si>
  <si>
    <t>Lee Chi-hyung</t>
  </si>
  <si>
    <t>S1; 416 min</t>
  </si>
  <si>
    <t xml:space="preserve">Medical Drama </t>
  </si>
  <si>
    <t>61M Views</t>
  </si>
  <si>
    <t>The Åre Murders</t>
  </si>
  <si>
    <t>32.6M Views</t>
  </si>
  <si>
    <t>Joakim Eliasson,Alain Darborg.</t>
  </si>
  <si>
    <t>Carla Sehn</t>
  </si>
  <si>
    <t>S1; 218 min</t>
  </si>
  <si>
    <t>Sweden</t>
  </si>
  <si>
    <t>Secrets We Keep</t>
  </si>
  <si>
    <t>33.8M Views</t>
  </si>
  <si>
    <t>Per Fly</t>
  </si>
  <si>
    <t>Marie Bach Hansen</t>
  </si>
  <si>
    <t>1 Season; 224 min</t>
  </si>
  <si>
    <t>Denmark</t>
  </si>
  <si>
    <t>The Gardener</t>
  </si>
  <si>
    <t>33.5M Views</t>
  </si>
  <si>
    <t>Mikel Rueda, Rafa Montesinos.</t>
  </si>
  <si>
    <t>Álvaro Rico</t>
  </si>
  <si>
    <t>1 Season; 280 min</t>
  </si>
  <si>
    <t>Crime Drama</t>
  </si>
  <si>
    <t>Running Point</t>
  </si>
  <si>
    <t>41.3M Views</t>
  </si>
  <si>
    <t>Kate Hudson</t>
  </si>
  <si>
    <t>S1; 304 min</t>
  </si>
  <si>
    <t>The Four Seasons</t>
  </si>
  <si>
    <t>Erika Dunton</t>
  </si>
  <si>
    <t>Colman Domingo</t>
  </si>
  <si>
    <t>S1; 258 min</t>
  </si>
  <si>
    <t>Duration_Minutes</t>
  </si>
  <si>
    <t>Views_Millions</t>
  </si>
  <si>
    <t>Average Imdb</t>
  </si>
  <si>
    <t>Min Imdb rating  High Rating</t>
  </si>
  <si>
    <t xml:space="preserve">Max Imdb rating </t>
  </si>
  <si>
    <t>Imdb above 8</t>
  </si>
  <si>
    <t xml:space="preserve">Percentage </t>
  </si>
  <si>
    <t>Grand Total</t>
  </si>
  <si>
    <t>Count of Title</t>
  </si>
  <si>
    <t>Average of IMDb</t>
  </si>
  <si>
    <t>% of Grand Total</t>
  </si>
  <si>
    <t>Average  Views</t>
  </si>
  <si>
    <t xml:space="preserve">Min Views </t>
  </si>
  <si>
    <t>Max Views</t>
  </si>
  <si>
    <t>Count of numeric values</t>
  </si>
  <si>
    <t>Correl Views&amp;Imdb</t>
  </si>
  <si>
    <t>Average of Views_Millions</t>
  </si>
  <si>
    <t>Global Content Insights</t>
  </si>
  <si>
    <t xml:space="preserve">Total Titles </t>
  </si>
  <si>
    <t xml:space="preserve">Titles with Views </t>
  </si>
  <si>
    <t xml:space="preserve">Average Views </t>
  </si>
  <si>
    <t>Average IMDb</t>
  </si>
  <si>
    <t xml:space="preserve">     49.15M</t>
  </si>
  <si>
    <t>Country Analysis</t>
  </si>
  <si>
    <t xml:space="preserve">  Count of Title</t>
  </si>
  <si>
    <t xml:space="preserve">Genre Performance </t>
  </si>
  <si>
    <t>Titles</t>
  </si>
  <si>
    <t>Genres</t>
  </si>
  <si>
    <t>Correlation (Views vs IMDb)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</si>
</sst>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5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0" fontId="16" fillId="33" borderId="10" xfId="0" applyFont="1" applyFill="1" applyBorder="1"/>
    <xf numFmtId="2" fontId="0" fillId="0" borderId="0" xfId="0" applyNumberFormat="1"/>
    <xf numFmtId="0" fontId="16" fillId="0" borderId="0" xfId="0" applyFont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'01_Netflix_2016_2025'!$L$1:$L$23</c:f>
              <c:strCache>
                <c:ptCount val="23"/>
                <c:pt idx="0">
                  <c:v>Views_Millions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'01_Netflix_2016_2025'!$C$24:$C$201</c:f>
              <c:numCache>
                <c:formatCode>General</c:formatCode>
                <c:ptCount val="178"/>
                <c:pt idx="0">
                  <c:v>8.1999999999999993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7.3</c:v>
                </c:pt>
                <c:pt idx="5">
                  <c:v>8</c:v>
                </c:pt>
                <c:pt idx="6">
                  <c:v>7.8</c:v>
                </c:pt>
                <c:pt idx="7">
                  <c:v>6.9</c:v>
                </c:pt>
                <c:pt idx="8">
                  <c:v>8.1</c:v>
                </c:pt>
                <c:pt idx="9">
                  <c:v>7.5</c:v>
                </c:pt>
                <c:pt idx="10">
                  <c:v>8.6</c:v>
                </c:pt>
                <c:pt idx="11">
                  <c:v>7.9</c:v>
                </c:pt>
                <c:pt idx="12">
                  <c:v>5.8</c:v>
                </c:pt>
                <c:pt idx="13">
                  <c:v>7.8</c:v>
                </c:pt>
                <c:pt idx="14">
                  <c:v>8</c:v>
                </c:pt>
                <c:pt idx="15">
                  <c:v>6.9</c:v>
                </c:pt>
                <c:pt idx="16">
                  <c:v>8.1999999999999993</c:v>
                </c:pt>
                <c:pt idx="17">
                  <c:v>6.4</c:v>
                </c:pt>
                <c:pt idx="18">
                  <c:v>7.9</c:v>
                </c:pt>
                <c:pt idx="19">
                  <c:v>8.6</c:v>
                </c:pt>
                <c:pt idx="20">
                  <c:v>7.5</c:v>
                </c:pt>
                <c:pt idx="21">
                  <c:v>8.4</c:v>
                </c:pt>
                <c:pt idx="22">
                  <c:v>8.1</c:v>
                </c:pt>
                <c:pt idx="23">
                  <c:v>7.1</c:v>
                </c:pt>
                <c:pt idx="24">
                  <c:v>8.5</c:v>
                </c:pt>
                <c:pt idx="25">
                  <c:v>8.6999999999999993</c:v>
                </c:pt>
                <c:pt idx="26">
                  <c:v>6.5</c:v>
                </c:pt>
                <c:pt idx="27">
                  <c:v>8</c:v>
                </c:pt>
                <c:pt idx="28">
                  <c:v>7.2</c:v>
                </c:pt>
                <c:pt idx="29">
                  <c:v>7.4</c:v>
                </c:pt>
                <c:pt idx="30">
                  <c:v>8.4</c:v>
                </c:pt>
                <c:pt idx="31">
                  <c:v>7.9</c:v>
                </c:pt>
                <c:pt idx="32">
                  <c:v>7.7</c:v>
                </c:pt>
                <c:pt idx="33">
                  <c:v>7.3</c:v>
                </c:pt>
                <c:pt idx="34">
                  <c:v>8.6</c:v>
                </c:pt>
                <c:pt idx="35">
                  <c:v>7.2</c:v>
                </c:pt>
                <c:pt idx="36">
                  <c:v>7.7</c:v>
                </c:pt>
                <c:pt idx="37">
                  <c:v>8.6</c:v>
                </c:pt>
                <c:pt idx="38">
                  <c:v>8</c:v>
                </c:pt>
                <c:pt idx="39">
                  <c:v>8.6999999999999993</c:v>
                </c:pt>
                <c:pt idx="40">
                  <c:v>7.9</c:v>
                </c:pt>
                <c:pt idx="41">
                  <c:v>8.3000000000000007</c:v>
                </c:pt>
                <c:pt idx="42">
                  <c:v>8.9</c:v>
                </c:pt>
                <c:pt idx="43">
                  <c:v>7.9</c:v>
                </c:pt>
                <c:pt idx="44">
                  <c:v>8.4</c:v>
                </c:pt>
                <c:pt idx="45">
                  <c:v>8.3000000000000007</c:v>
                </c:pt>
                <c:pt idx="46">
                  <c:v>8.4</c:v>
                </c:pt>
                <c:pt idx="47">
                  <c:v>7.7</c:v>
                </c:pt>
                <c:pt idx="48">
                  <c:v>9.3000000000000007</c:v>
                </c:pt>
                <c:pt idx="49">
                  <c:v>8.4</c:v>
                </c:pt>
                <c:pt idx="50">
                  <c:v>8.8000000000000007</c:v>
                </c:pt>
                <c:pt idx="51">
                  <c:v>7.6</c:v>
                </c:pt>
                <c:pt idx="52">
                  <c:v>8.1999999999999993</c:v>
                </c:pt>
                <c:pt idx="53">
                  <c:v>7.5</c:v>
                </c:pt>
                <c:pt idx="54">
                  <c:v>8.5</c:v>
                </c:pt>
                <c:pt idx="55">
                  <c:v>7.9</c:v>
                </c:pt>
                <c:pt idx="56">
                  <c:v>7.3</c:v>
                </c:pt>
                <c:pt idx="57">
                  <c:v>8.1999999999999993</c:v>
                </c:pt>
                <c:pt idx="58">
                  <c:v>7.4</c:v>
                </c:pt>
                <c:pt idx="59">
                  <c:v>8.6</c:v>
                </c:pt>
                <c:pt idx="60">
                  <c:v>7.5</c:v>
                </c:pt>
                <c:pt idx="61">
                  <c:v>8.1999999999999993</c:v>
                </c:pt>
                <c:pt idx="62">
                  <c:v>6.9</c:v>
                </c:pt>
                <c:pt idx="63">
                  <c:v>7.5</c:v>
                </c:pt>
                <c:pt idx="64">
                  <c:v>6.2</c:v>
                </c:pt>
                <c:pt idx="65">
                  <c:v>7.8</c:v>
                </c:pt>
                <c:pt idx="66">
                  <c:v>7.3</c:v>
                </c:pt>
                <c:pt idx="67">
                  <c:v>7.7</c:v>
                </c:pt>
                <c:pt idx="68">
                  <c:v>7.9</c:v>
                </c:pt>
                <c:pt idx="69">
                  <c:v>7.3</c:v>
                </c:pt>
                <c:pt idx="70">
                  <c:v>6.7</c:v>
                </c:pt>
                <c:pt idx="71">
                  <c:v>4.3</c:v>
                </c:pt>
                <c:pt idx="72">
                  <c:v>8.6</c:v>
                </c:pt>
                <c:pt idx="73">
                  <c:v>8.5</c:v>
                </c:pt>
                <c:pt idx="74">
                  <c:v>8.3000000000000007</c:v>
                </c:pt>
                <c:pt idx="75">
                  <c:v>7.3</c:v>
                </c:pt>
                <c:pt idx="76">
                  <c:v>8</c:v>
                </c:pt>
                <c:pt idx="77">
                  <c:v>8.5</c:v>
                </c:pt>
                <c:pt idx="78">
                  <c:v>8</c:v>
                </c:pt>
                <c:pt idx="79">
                  <c:v>7.5</c:v>
                </c:pt>
                <c:pt idx="80">
                  <c:v>8.3000000000000007</c:v>
                </c:pt>
                <c:pt idx="81">
                  <c:v>5.5</c:v>
                </c:pt>
                <c:pt idx="82">
                  <c:v>8.1999999999999993</c:v>
                </c:pt>
                <c:pt idx="83">
                  <c:v>7.7</c:v>
                </c:pt>
                <c:pt idx="84">
                  <c:v>7.5</c:v>
                </c:pt>
                <c:pt idx="85">
                  <c:v>6.8</c:v>
                </c:pt>
                <c:pt idx="86">
                  <c:v>7.5</c:v>
                </c:pt>
                <c:pt idx="87">
                  <c:v>8.3000000000000007</c:v>
                </c:pt>
                <c:pt idx="88">
                  <c:v>9</c:v>
                </c:pt>
                <c:pt idx="89">
                  <c:v>7.2</c:v>
                </c:pt>
                <c:pt idx="90">
                  <c:v>7.7</c:v>
                </c:pt>
                <c:pt idx="91">
                  <c:v>6.6</c:v>
                </c:pt>
                <c:pt idx="92">
                  <c:v>7.8</c:v>
                </c:pt>
                <c:pt idx="93">
                  <c:v>8.1999999999999993</c:v>
                </c:pt>
                <c:pt idx="94">
                  <c:v>7.6</c:v>
                </c:pt>
                <c:pt idx="95">
                  <c:v>7.2</c:v>
                </c:pt>
                <c:pt idx="96">
                  <c:v>6.7</c:v>
                </c:pt>
                <c:pt idx="97">
                  <c:v>7.3</c:v>
                </c:pt>
                <c:pt idx="98">
                  <c:v>8.1</c:v>
                </c:pt>
                <c:pt idx="99">
                  <c:v>8.6999999999999993</c:v>
                </c:pt>
                <c:pt idx="100">
                  <c:v>7.9</c:v>
                </c:pt>
                <c:pt idx="101">
                  <c:v>7.5</c:v>
                </c:pt>
                <c:pt idx="102">
                  <c:v>6.8</c:v>
                </c:pt>
                <c:pt idx="103">
                  <c:v>8.5</c:v>
                </c:pt>
                <c:pt idx="104">
                  <c:v>7.4</c:v>
                </c:pt>
                <c:pt idx="105">
                  <c:v>7.7</c:v>
                </c:pt>
                <c:pt idx="106">
                  <c:v>8.6</c:v>
                </c:pt>
                <c:pt idx="107">
                  <c:v>7.1</c:v>
                </c:pt>
                <c:pt idx="108">
                  <c:v>6.5</c:v>
                </c:pt>
                <c:pt idx="109">
                  <c:v>8.6</c:v>
                </c:pt>
                <c:pt idx="110">
                  <c:v>7.3</c:v>
                </c:pt>
                <c:pt idx="111">
                  <c:v>7</c:v>
                </c:pt>
                <c:pt idx="112">
                  <c:v>7.8</c:v>
                </c:pt>
                <c:pt idx="113">
                  <c:v>8.5</c:v>
                </c:pt>
                <c:pt idx="114">
                  <c:v>8.1</c:v>
                </c:pt>
                <c:pt idx="115">
                  <c:v>8.6999999999999993</c:v>
                </c:pt>
                <c:pt idx="116">
                  <c:v>7.5</c:v>
                </c:pt>
                <c:pt idx="117">
                  <c:v>5.9</c:v>
                </c:pt>
                <c:pt idx="118">
                  <c:v>7.5</c:v>
                </c:pt>
                <c:pt idx="119">
                  <c:v>8.3000000000000007</c:v>
                </c:pt>
                <c:pt idx="120">
                  <c:v>7.4</c:v>
                </c:pt>
                <c:pt idx="121">
                  <c:v>8.1</c:v>
                </c:pt>
                <c:pt idx="122">
                  <c:v>8</c:v>
                </c:pt>
                <c:pt idx="123">
                  <c:v>7.5</c:v>
                </c:pt>
                <c:pt idx="124">
                  <c:v>7.7</c:v>
                </c:pt>
                <c:pt idx="125">
                  <c:v>7.5</c:v>
                </c:pt>
                <c:pt idx="126">
                  <c:v>8.1</c:v>
                </c:pt>
                <c:pt idx="127">
                  <c:v>7.3</c:v>
                </c:pt>
                <c:pt idx="128">
                  <c:v>7</c:v>
                </c:pt>
                <c:pt idx="129">
                  <c:v>7.3</c:v>
                </c:pt>
                <c:pt idx="130">
                  <c:v>8.6999999999999993</c:v>
                </c:pt>
                <c:pt idx="131">
                  <c:v>8</c:v>
                </c:pt>
                <c:pt idx="132">
                  <c:v>6.2</c:v>
                </c:pt>
                <c:pt idx="133">
                  <c:v>8.6999999999999993</c:v>
                </c:pt>
                <c:pt idx="134">
                  <c:v>5.6</c:v>
                </c:pt>
                <c:pt idx="135">
                  <c:v>7.7</c:v>
                </c:pt>
                <c:pt idx="136">
                  <c:v>8.1</c:v>
                </c:pt>
                <c:pt idx="137">
                  <c:v>8.1</c:v>
                </c:pt>
                <c:pt idx="138">
                  <c:v>6.8</c:v>
                </c:pt>
                <c:pt idx="139">
                  <c:v>7.8</c:v>
                </c:pt>
                <c:pt idx="140">
                  <c:v>8</c:v>
                </c:pt>
                <c:pt idx="141">
                  <c:v>7.4</c:v>
                </c:pt>
                <c:pt idx="142">
                  <c:v>8.1</c:v>
                </c:pt>
                <c:pt idx="143">
                  <c:v>7.2</c:v>
                </c:pt>
                <c:pt idx="144">
                  <c:v>7.2</c:v>
                </c:pt>
                <c:pt idx="145">
                  <c:v>7.5</c:v>
                </c:pt>
                <c:pt idx="146">
                  <c:v>6.5</c:v>
                </c:pt>
                <c:pt idx="147">
                  <c:v>8.1</c:v>
                </c:pt>
                <c:pt idx="148">
                  <c:v>7</c:v>
                </c:pt>
                <c:pt idx="149">
                  <c:v>6.9</c:v>
                </c:pt>
                <c:pt idx="150">
                  <c:v>5.2</c:v>
                </c:pt>
                <c:pt idx="151">
                  <c:v>6.5</c:v>
                </c:pt>
                <c:pt idx="152">
                  <c:v>7.2</c:v>
                </c:pt>
                <c:pt idx="153">
                  <c:v>6.9</c:v>
                </c:pt>
                <c:pt idx="154">
                  <c:v>8.1999999999999993</c:v>
                </c:pt>
                <c:pt idx="155">
                  <c:v>7.3</c:v>
                </c:pt>
                <c:pt idx="156">
                  <c:v>7.6</c:v>
                </c:pt>
                <c:pt idx="157">
                  <c:v>6.3</c:v>
                </c:pt>
                <c:pt idx="158">
                  <c:v>8.8000000000000007</c:v>
                </c:pt>
                <c:pt idx="159">
                  <c:v>8</c:v>
                </c:pt>
                <c:pt idx="160">
                  <c:v>8.6999999999999993</c:v>
                </c:pt>
                <c:pt idx="161">
                  <c:v>8.1</c:v>
                </c:pt>
                <c:pt idx="162">
                  <c:v>7.5</c:v>
                </c:pt>
                <c:pt idx="163">
                  <c:v>7.6</c:v>
                </c:pt>
                <c:pt idx="164">
                  <c:v>7.1</c:v>
                </c:pt>
                <c:pt idx="165">
                  <c:v>7.8</c:v>
                </c:pt>
                <c:pt idx="166">
                  <c:v>7.2</c:v>
                </c:pt>
                <c:pt idx="167">
                  <c:v>6.8</c:v>
                </c:pt>
                <c:pt idx="168">
                  <c:v>8.5</c:v>
                </c:pt>
                <c:pt idx="169">
                  <c:v>7.1</c:v>
                </c:pt>
                <c:pt idx="170">
                  <c:v>8.4</c:v>
                </c:pt>
                <c:pt idx="171">
                  <c:v>8</c:v>
                </c:pt>
                <c:pt idx="172">
                  <c:v>7.6</c:v>
                </c:pt>
                <c:pt idx="173">
                  <c:v>7.3</c:v>
                </c:pt>
                <c:pt idx="174">
                  <c:v>7.5</c:v>
                </c:pt>
                <c:pt idx="175">
                  <c:v>7.2</c:v>
                </c:pt>
                <c:pt idx="176">
                  <c:v>6.7</c:v>
                </c:pt>
                <c:pt idx="177">
                  <c:v>6.9</c:v>
                </c:pt>
              </c:numCache>
            </c:numRef>
          </c:xVal>
          <c:yVal>
            <c:numRef>
              <c:f>'01_Netflix_2016_2025'!$L$24:$L$201</c:f>
              <c:numCache>
                <c:formatCode>General</c:formatCode>
                <c:ptCount val="178"/>
                <c:pt idx="0">
                  <c:v>12.4</c:v>
                </c:pt>
                <c:pt idx="1">
                  <c:v>0</c:v>
                </c:pt>
                <c:pt idx="2">
                  <c:v>15.5</c:v>
                </c:pt>
                <c:pt idx="3">
                  <c:v>7.4</c:v>
                </c:pt>
                <c:pt idx="4">
                  <c:v>4.5</c:v>
                </c:pt>
                <c:pt idx="5">
                  <c:v>7.1</c:v>
                </c:pt>
                <c:pt idx="6">
                  <c:v>4.9000000000000004</c:v>
                </c:pt>
                <c:pt idx="7">
                  <c:v>5.3</c:v>
                </c:pt>
                <c:pt idx="8">
                  <c:v>6.8</c:v>
                </c:pt>
                <c:pt idx="9">
                  <c:v>5.0999999999999996</c:v>
                </c:pt>
                <c:pt idx="10">
                  <c:v>0</c:v>
                </c:pt>
                <c:pt idx="11">
                  <c:v>10.1</c:v>
                </c:pt>
                <c:pt idx="12">
                  <c:v>3.2</c:v>
                </c:pt>
                <c:pt idx="13">
                  <c:v>10.5</c:v>
                </c:pt>
                <c:pt idx="14">
                  <c:v>8.5</c:v>
                </c:pt>
                <c:pt idx="15">
                  <c:v>4.8</c:v>
                </c:pt>
                <c:pt idx="16">
                  <c:v>8.1</c:v>
                </c:pt>
                <c:pt idx="17">
                  <c:v>5.2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8.1</c:v>
                </c:pt>
                <c:pt idx="22">
                  <c:v>14.2</c:v>
                </c:pt>
                <c:pt idx="23">
                  <c:v>6.5</c:v>
                </c:pt>
                <c:pt idx="24">
                  <c:v>15.7</c:v>
                </c:pt>
                <c:pt idx="25">
                  <c:v>7.4</c:v>
                </c:pt>
                <c:pt idx="26">
                  <c:v>10.4</c:v>
                </c:pt>
                <c:pt idx="27">
                  <c:v>50</c:v>
                </c:pt>
                <c:pt idx="28">
                  <c:v>30</c:v>
                </c:pt>
                <c:pt idx="29">
                  <c:v>11.5</c:v>
                </c:pt>
                <c:pt idx="30">
                  <c:v>12.8</c:v>
                </c:pt>
                <c:pt idx="31">
                  <c:v>45</c:v>
                </c:pt>
                <c:pt idx="32">
                  <c:v>40</c:v>
                </c:pt>
                <c:pt idx="33">
                  <c:v>11.2</c:v>
                </c:pt>
                <c:pt idx="34">
                  <c:v>4.8</c:v>
                </c:pt>
                <c:pt idx="35">
                  <c:v>7.1</c:v>
                </c:pt>
                <c:pt idx="36">
                  <c:v>5.2</c:v>
                </c:pt>
                <c:pt idx="37">
                  <c:v>4.8</c:v>
                </c:pt>
                <c:pt idx="38">
                  <c:v>0</c:v>
                </c:pt>
                <c:pt idx="39">
                  <c:v>0</c:v>
                </c:pt>
                <c:pt idx="40">
                  <c:v>45</c:v>
                </c:pt>
                <c:pt idx="41">
                  <c:v>40</c:v>
                </c:pt>
                <c:pt idx="42">
                  <c:v>25</c:v>
                </c:pt>
                <c:pt idx="43">
                  <c:v>30</c:v>
                </c:pt>
                <c:pt idx="44">
                  <c:v>18</c:v>
                </c:pt>
                <c:pt idx="45">
                  <c:v>12</c:v>
                </c:pt>
                <c:pt idx="46">
                  <c:v>44</c:v>
                </c:pt>
                <c:pt idx="47">
                  <c:v>12.5</c:v>
                </c:pt>
                <c:pt idx="48">
                  <c:v>33</c:v>
                </c:pt>
                <c:pt idx="49">
                  <c:v>15</c:v>
                </c:pt>
                <c:pt idx="50">
                  <c:v>30</c:v>
                </c:pt>
                <c:pt idx="51">
                  <c:v>7.4</c:v>
                </c:pt>
                <c:pt idx="52">
                  <c:v>6.5</c:v>
                </c:pt>
                <c:pt idx="53">
                  <c:v>35</c:v>
                </c:pt>
                <c:pt idx="54">
                  <c:v>10</c:v>
                </c:pt>
                <c:pt idx="55">
                  <c:v>8.3000000000000007</c:v>
                </c:pt>
                <c:pt idx="56">
                  <c:v>11.2</c:v>
                </c:pt>
                <c:pt idx="57">
                  <c:v>9.5</c:v>
                </c:pt>
                <c:pt idx="58">
                  <c:v>113.3</c:v>
                </c:pt>
                <c:pt idx="59">
                  <c:v>112.8</c:v>
                </c:pt>
                <c:pt idx="60">
                  <c:v>64</c:v>
                </c:pt>
                <c:pt idx="61">
                  <c:v>0</c:v>
                </c:pt>
                <c:pt idx="62">
                  <c:v>58</c:v>
                </c:pt>
                <c:pt idx="63">
                  <c:v>45</c:v>
                </c:pt>
                <c:pt idx="64">
                  <c:v>0</c:v>
                </c:pt>
                <c:pt idx="65">
                  <c:v>40</c:v>
                </c:pt>
                <c:pt idx="66">
                  <c:v>48</c:v>
                </c:pt>
                <c:pt idx="67">
                  <c:v>46.6</c:v>
                </c:pt>
                <c:pt idx="68">
                  <c:v>43</c:v>
                </c:pt>
                <c:pt idx="69">
                  <c:v>0</c:v>
                </c:pt>
                <c:pt idx="70">
                  <c:v>40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35</c:v>
                </c:pt>
                <c:pt idx="75">
                  <c:v>0</c:v>
                </c:pt>
                <c:pt idx="76">
                  <c:v>52</c:v>
                </c:pt>
                <c:pt idx="77">
                  <c:v>0</c:v>
                </c:pt>
                <c:pt idx="78">
                  <c:v>265.2</c:v>
                </c:pt>
                <c:pt idx="79">
                  <c:v>76</c:v>
                </c:pt>
                <c:pt idx="80">
                  <c:v>67</c:v>
                </c:pt>
                <c:pt idx="81">
                  <c:v>67</c:v>
                </c:pt>
                <c:pt idx="82">
                  <c:v>0</c:v>
                </c:pt>
                <c:pt idx="83">
                  <c:v>60</c:v>
                </c:pt>
                <c:pt idx="84">
                  <c:v>118.2</c:v>
                </c:pt>
                <c:pt idx="85">
                  <c:v>57</c:v>
                </c:pt>
                <c:pt idx="86">
                  <c:v>55</c:v>
                </c:pt>
                <c:pt idx="87">
                  <c:v>55</c:v>
                </c:pt>
                <c:pt idx="88">
                  <c:v>0</c:v>
                </c:pt>
                <c:pt idx="89">
                  <c:v>52</c:v>
                </c:pt>
                <c:pt idx="90">
                  <c:v>12.1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31</c:v>
                </c:pt>
                <c:pt idx="95">
                  <c:v>38</c:v>
                </c:pt>
                <c:pt idx="96">
                  <c:v>25</c:v>
                </c:pt>
                <c:pt idx="97">
                  <c:v>0</c:v>
                </c:pt>
                <c:pt idx="98">
                  <c:v>252.1</c:v>
                </c:pt>
                <c:pt idx="99">
                  <c:v>140.69999999999999</c:v>
                </c:pt>
                <c:pt idx="100">
                  <c:v>115.6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79.599999999999994</c:v>
                </c:pt>
                <c:pt idx="109">
                  <c:v>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99.2</c:v>
                </c:pt>
                <c:pt idx="119">
                  <c:v>71.599999999999994</c:v>
                </c:pt>
                <c:pt idx="120">
                  <c:v>77.599999999999994</c:v>
                </c:pt>
                <c:pt idx="121">
                  <c:v>43.7</c:v>
                </c:pt>
                <c:pt idx="122">
                  <c:v>52.1</c:v>
                </c:pt>
                <c:pt idx="123">
                  <c:v>68</c:v>
                </c:pt>
                <c:pt idx="124">
                  <c:v>53.2</c:v>
                </c:pt>
                <c:pt idx="125">
                  <c:v>45.3</c:v>
                </c:pt>
                <c:pt idx="126">
                  <c:v>43.9</c:v>
                </c:pt>
                <c:pt idx="127">
                  <c:v>50.9</c:v>
                </c:pt>
                <c:pt idx="128">
                  <c:v>56.7</c:v>
                </c:pt>
                <c:pt idx="129">
                  <c:v>15.3</c:v>
                </c:pt>
                <c:pt idx="130">
                  <c:v>15</c:v>
                </c:pt>
                <c:pt idx="131">
                  <c:v>15.5</c:v>
                </c:pt>
                <c:pt idx="132">
                  <c:v>21</c:v>
                </c:pt>
                <c:pt idx="133">
                  <c:v>31</c:v>
                </c:pt>
                <c:pt idx="134">
                  <c:v>20</c:v>
                </c:pt>
                <c:pt idx="135">
                  <c:v>17.7</c:v>
                </c:pt>
                <c:pt idx="136">
                  <c:v>12.1</c:v>
                </c:pt>
                <c:pt idx="137">
                  <c:v>11.2</c:v>
                </c:pt>
                <c:pt idx="138">
                  <c:v>107.5</c:v>
                </c:pt>
                <c:pt idx="139">
                  <c:v>87.6</c:v>
                </c:pt>
                <c:pt idx="140">
                  <c:v>192.6</c:v>
                </c:pt>
                <c:pt idx="141">
                  <c:v>106</c:v>
                </c:pt>
                <c:pt idx="142">
                  <c:v>75.900000000000006</c:v>
                </c:pt>
                <c:pt idx="143">
                  <c:v>71.099999999999994</c:v>
                </c:pt>
                <c:pt idx="144">
                  <c:v>69.2</c:v>
                </c:pt>
                <c:pt idx="145">
                  <c:v>52.4</c:v>
                </c:pt>
                <c:pt idx="146">
                  <c:v>75.099999999999994</c:v>
                </c:pt>
                <c:pt idx="147">
                  <c:v>39.4</c:v>
                </c:pt>
                <c:pt idx="148">
                  <c:v>48.5</c:v>
                </c:pt>
                <c:pt idx="149">
                  <c:v>30.7</c:v>
                </c:pt>
                <c:pt idx="150">
                  <c:v>84.7</c:v>
                </c:pt>
                <c:pt idx="151">
                  <c:v>31.4</c:v>
                </c:pt>
                <c:pt idx="152">
                  <c:v>25.4</c:v>
                </c:pt>
                <c:pt idx="153">
                  <c:v>25.4</c:v>
                </c:pt>
                <c:pt idx="154">
                  <c:v>29.2</c:v>
                </c:pt>
                <c:pt idx="155">
                  <c:v>20</c:v>
                </c:pt>
                <c:pt idx="156">
                  <c:v>23.9</c:v>
                </c:pt>
                <c:pt idx="157">
                  <c:v>23.3</c:v>
                </c:pt>
                <c:pt idx="158">
                  <c:v>142.6</c:v>
                </c:pt>
                <c:pt idx="159">
                  <c:v>145.80000000000001</c:v>
                </c:pt>
                <c:pt idx="160">
                  <c:v>133.80000000000001</c:v>
                </c:pt>
                <c:pt idx="161">
                  <c:v>124</c:v>
                </c:pt>
                <c:pt idx="162">
                  <c:v>482</c:v>
                </c:pt>
                <c:pt idx="163">
                  <c:v>61.3</c:v>
                </c:pt>
                <c:pt idx="164">
                  <c:v>58</c:v>
                </c:pt>
                <c:pt idx="165">
                  <c:v>93</c:v>
                </c:pt>
                <c:pt idx="166">
                  <c:v>76</c:v>
                </c:pt>
                <c:pt idx="167">
                  <c:v>66</c:v>
                </c:pt>
                <c:pt idx="168">
                  <c:v>73</c:v>
                </c:pt>
                <c:pt idx="169">
                  <c:v>108</c:v>
                </c:pt>
                <c:pt idx="170">
                  <c:v>34.799999999999997</c:v>
                </c:pt>
                <c:pt idx="171">
                  <c:v>34.1</c:v>
                </c:pt>
                <c:pt idx="172">
                  <c:v>61</c:v>
                </c:pt>
                <c:pt idx="173">
                  <c:v>32.6</c:v>
                </c:pt>
                <c:pt idx="174">
                  <c:v>33.799999999999997</c:v>
                </c:pt>
                <c:pt idx="175">
                  <c:v>33.5</c:v>
                </c:pt>
                <c:pt idx="176">
                  <c:v>41.3</c:v>
                </c:pt>
                <c:pt idx="177">
                  <c:v>39.4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1-43E9-B5B0-1B83CF2A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54896"/>
        <c:axId val="588772944"/>
      </c:scatterChart>
      <c:valAx>
        <c:axId val="7827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2944"/>
        <c:crosses val="autoZero"/>
        <c:crossBetween val="midCat"/>
      </c:valAx>
      <c:valAx>
        <c:axId val="5887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5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  Count of Title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Dashboard!$B$10:$B$13</c:f>
              <c:strCache>
                <c:ptCount val="4"/>
                <c:pt idx="0">
                  <c:v>UK</c:v>
                </c:pt>
                <c:pt idx="1">
                  <c:v>South Korea</c:v>
                </c:pt>
                <c:pt idx="2">
                  <c:v>USA</c:v>
                </c:pt>
                <c:pt idx="3">
                  <c:v>Spain</c:v>
                </c:pt>
              </c:strCache>
            </c:strRef>
          </c:cat>
          <c:val>
            <c:numRef>
              <c:f>Dashboard!$C$10:$C$13</c:f>
              <c:numCache>
                <c:formatCode>General</c:formatCode>
                <c:ptCount val="4"/>
                <c:pt idx="0">
                  <c:v>23</c:v>
                </c:pt>
                <c:pt idx="1">
                  <c:v>20</c:v>
                </c:pt>
                <c:pt idx="2">
                  <c:v>115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A3-4231-BA2F-3CB994D1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731583"/>
        <c:axId val="1289530543"/>
      </c:barChart>
      <c:catAx>
        <c:axId val="147773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30543"/>
        <c:crosses val="autoZero"/>
        <c:auto val="1"/>
        <c:lblAlgn val="ctr"/>
        <c:lblOffset val="100"/>
        <c:noMultiLvlLbl val="0"/>
      </c:catAx>
      <c:valAx>
        <c:axId val="128953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73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Dashboard!$C$27</c:f>
              <c:strCache>
                <c:ptCount val="1"/>
                <c:pt idx="0">
                  <c:v>Average of IMDb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Dashboard!$B$28:$B$31</c:f>
              <c:strCache>
                <c:ptCount val="4"/>
                <c:pt idx="0">
                  <c:v>UK</c:v>
                </c:pt>
                <c:pt idx="1">
                  <c:v>South Korea</c:v>
                </c:pt>
                <c:pt idx="2">
                  <c:v>USA</c:v>
                </c:pt>
                <c:pt idx="3">
                  <c:v>Spain</c:v>
                </c:pt>
              </c:strCache>
            </c:strRef>
          </c:cat>
          <c:val>
            <c:numRef>
              <c:f>Dashboard!$C$28:$C$31</c:f>
              <c:numCache>
                <c:formatCode>0.00</c:formatCode>
                <c:ptCount val="4"/>
                <c:pt idx="0">
                  <c:v>8.1391304347826079</c:v>
                </c:pt>
                <c:pt idx="1">
                  <c:v>7.8950000000000005</c:v>
                </c:pt>
                <c:pt idx="2">
                  <c:v>7.6356521739130443</c:v>
                </c:pt>
                <c:pt idx="3">
                  <c:v>7.4555555555555548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6-41FB-B826-52C57B7C8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0262991"/>
        <c:axId val="1289595823"/>
      </c:barChart>
      <c:catAx>
        <c:axId val="153026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95823"/>
        <c:crosses val="autoZero"/>
        <c:auto val="1"/>
        <c:lblAlgn val="ctr"/>
        <c:lblOffset val="100"/>
        <c:noMultiLvlLbl val="0"/>
      </c:catAx>
      <c:valAx>
        <c:axId val="12895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26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'01_Netflix_2016_2025'!$L$1:$L$23</c:f>
              <c:strCache>
                <c:ptCount val="23"/>
                <c:pt idx="0">
                  <c:v>Views_Millions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'01_Netflix_2016_2025'!$C$24:$C$201</c:f>
              <c:numCache>
                <c:formatCode>General</c:formatCode>
                <c:ptCount val="178"/>
                <c:pt idx="0">
                  <c:v>8.1999999999999993</c:v>
                </c:pt>
                <c:pt idx="1">
                  <c:v>8.5</c:v>
                </c:pt>
                <c:pt idx="2">
                  <c:v>8.6</c:v>
                </c:pt>
                <c:pt idx="3">
                  <c:v>8.6999999999999993</c:v>
                </c:pt>
                <c:pt idx="4">
                  <c:v>7.3</c:v>
                </c:pt>
                <c:pt idx="5">
                  <c:v>8</c:v>
                </c:pt>
                <c:pt idx="6">
                  <c:v>7.8</c:v>
                </c:pt>
                <c:pt idx="7">
                  <c:v>6.9</c:v>
                </c:pt>
                <c:pt idx="8">
                  <c:v>8.1</c:v>
                </c:pt>
                <c:pt idx="9">
                  <c:v>7.5</c:v>
                </c:pt>
                <c:pt idx="10">
                  <c:v>8.6</c:v>
                </c:pt>
                <c:pt idx="11">
                  <c:v>7.9</c:v>
                </c:pt>
                <c:pt idx="12">
                  <c:v>5.8</c:v>
                </c:pt>
                <c:pt idx="13">
                  <c:v>7.8</c:v>
                </c:pt>
                <c:pt idx="14">
                  <c:v>8</c:v>
                </c:pt>
                <c:pt idx="15">
                  <c:v>6.9</c:v>
                </c:pt>
                <c:pt idx="16">
                  <c:v>8.1999999999999993</c:v>
                </c:pt>
                <c:pt idx="17">
                  <c:v>6.4</c:v>
                </c:pt>
                <c:pt idx="18">
                  <c:v>7.9</c:v>
                </c:pt>
                <c:pt idx="19">
                  <c:v>8.6</c:v>
                </c:pt>
                <c:pt idx="20">
                  <c:v>7.5</c:v>
                </c:pt>
                <c:pt idx="21">
                  <c:v>8.4</c:v>
                </c:pt>
                <c:pt idx="22">
                  <c:v>8.1</c:v>
                </c:pt>
                <c:pt idx="23">
                  <c:v>7.1</c:v>
                </c:pt>
                <c:pt idx="24">
                  <c:v>8.5</c:v>
                </c:pt>
                <c:pt idx="25">
                  <c:v>8.6999999999999993</c:v>
                </c:pt>
                <c:pt idx="26">
                  <c:v>6.5</c:v>
                </c:pt>
                <c:pt idx="27">
                  <c:v>8</c:v>
                </c:pt>
                <c:pt idx="28">
                  <c:v>7.2</c:v>
                </c:pt>
                <c:pt idx="29">
                  <c:v>7.4</c:v>
                </c:pt>
                <c:pt idx="30">
                  <c:v>8.4</c:v>
                </c:pt>
                <c:pt idx="31">
                  <c:v>7.9</c:v>
                </c:pt>
                <c:pt idx="32">
                  <c:v>7.7</c:v>
                </c:pt>
                <c:pt idx="33">
                  <c:v>7.3</c:v>
                </c:pt>
                <c:pt idx="34">
                  <c:v>8.6</c:v>
                </c:pt>
                <c:pt idx="35">
                  <c:v>7.2</c:v>
                </c:pt>
                <c:pt idx="36">
                  <c:v>7.7</c:v>
                </c:pt>
                <c:pt idx="37">
                  <c:v>8.6</c:v>
                </c:pt>
                <c:pt idx="38">
                  <c:v>8</c:v>
                </c:pt>
                <c:pt idx="39">
                  <c:v>8.6999999999999993</c:v>
                </c:pt>
                <c:pt idx="40">
                  <c:v>7.9</c:v>
                </c:pt>
                <c:pt idx="41">
                  <c:v>8.3000000000000007</c:v>
                </c:pt>
                <c:pt idx="42">
                  <c:v>8.9</c:v>
                </c:pt>
                <c:pt idx="43">
                  <c:v>7.9</c:v>
                </c:pt>
                <c:pt idx="44">
                  <c:v>8.4</c:v>
                </c:pt>
                <c:pt idx="45">
                  <c:v>8.3000000000000007</c:v>
                </c:pt>
                <c:pt idx="46">
                  <c:v>8.4</c:v>
                </c:pt>
                <c:pt idx="47">
                  <c:v>7.7</c:v>
                </c:pt>
                <c:pt idx="48">
                  <c:v>9.3000000000000007</c:v>
                </c:pt>
                <c:pt idx="49">
                  <c:v>8.4</c:v>
                </c:pt>
                <c:pt idx="50">
                  <c:v>8.8000000000000007</c:v>
                </c:pt>
                <c:pt idx="51">
                  <c:v>7.6</c:v>
                </c:pt>
                <c:pt idx="52">
                  <c:v>8.1999999999999993</c:v>
                </c:pt>
                <c:pt idx="53">
                  <c:v>7.5</c:v>
                </c:pt>
                <c:pt idx="54">
                  <c:v>8.5</c:v>
                </c:pt>
                <c:pt idx="55">
                  <c:v>7.9</c:v>
                </c:pt>
                <c:pt idx="56">
                  <c:v>7.3</c:v>
                </c:pt>
                <c:pt idx="57">
                  <c:v>8.1999999999999993</c:v>
                </c:pt>
                <c:pt idx="58">
                  <c:v>7.4</c:v>
                </c:pt>
                <c:pt idx="59">
                  <c:v>8.6</c:v>
                </c:pt>
                <c:pt idx="60">
                  <c:v>7.5</c:v>
                </c:pt>
                <c:pt idx="61">
                  <c:v>8.1999999999999993</c:v>
                </c:pt>
                <c:pt idx="62">
                  <c:v>6.9</c:v>
                </c:pt>
                <c:pt idx="63">
                  <c:v>7.5</c:v>
                </c:pt>
                <c:pt idx="64">
                  <c:v>6.2</c:v>
                </c:pt>
                <c:pt idx="65">
                  <c:v>7.8</c:v>
                </c:pt>
                <c:pt idx="66">
                  <c:v>7.3</c:v>
                </c:pt>
                <c:pt idx="67">
                  <c:v>7.7</c:v>
                </c:pt>
                <c:pt idx="68">
                  <c:v>7.9</c:v>
                </c:pt>
                <c:pt idx="69">
                  <c:v>7.3</c:v>
                </c:pt>
                <c:pt idx="70">
                  <c:v>6.7</c:v>
                </c:pt>
                <c:pt idx="71">
                  <c:v>4.3</c:v>
                </c:pt>
                <c:pt idx="72">
                  <c:v>8.6</c:v>
                </c:pt>
                <c:pt idx="73">
                  <c:v>8.5</c:v>
                </c:pt>
                <c:pt idx="74">
                  <c:v>8.3000000000000007</c:v>
                </c:pt>
                <c:pt idx="75">
                  <c:v>7.3</c:v>
                </c:pt>
                <c:pt idx="76">
                  <c:v>8</c:v>
                </c:pt>
                <c:pt idx="77">
                  <c:v>8.5</c:v>
                </c:pt>
                <c:pt idx="78">
                  <c:v>8</c:v>
                </c:pt>
                <c:pt idx="79">
                  <c:v>7.5</c:v>
                </c:pt>
                <c:pt idx="80">
                  <c:v>8.3000000000000007</c:v>
                </c:pt>
                <c:pt idx="81">
                  <c:v>5.5</c:v>
                </c:pt>
                <c:pt idx="82">
                  <c:v>8.1999999999999993</c:v>
                </c:pt>
                <c:pt idx="83">
                  <c:v>7.7</c:v>
                </c:pt>
                <c:pt idx="84">
                  <c:v>7.5</c:v>
                </c:pt>
                <c:pt idx="85">
                  <c:v>6.8</c:v>
                </c:pt>
                <c:pt idx="86">
                  <c:v>7.5</c:v>
                </c:pt>
                <c:pt idx="87">
                  <c:v>8.3000000000000007</c:v>
                </c:pt>
                <c:pt idx="88">
                  <c:v>9</c:v>
                </c:pt>
                <c:pt idx="89">
                  <c:v>7.2</c:v>
                </c:pt>
                <c:pt idx="90">
                  <c:v>7.7</c:v>
                </c:pt>
                <c:pt idx="91">
                  <c:v>6.6</c:v>
                </c:pt>
                <c:pt idx="92">
                  <c:v>7.8</c:v>
                </c:pt>
                <c:pt idx="93">
                  <c:v>8.1999999999999993</c:v>
                </c:pt>
                <c:pt idx="94">
                  <c:v>7.6</c:v>
                </c:pt>
                <c:pt idx="95">
                  <c:v>7.2</c:v>
                </c:pt>
                <c:pt idx="96">
                  <c:v>6.7</c:v>
                </c:pt>
                <c:pt idx="97">
                  <c:v>7.3</c:v>
                </c:pt>
                <c:pt idx="98">
                  <c:v>8.1</c:v>
                </c:pt>
                <c:pt idx="99">
                  <c:v>8.6999999999999993</c:v>
                </c:pt>
                <c:pt idx="100">
                  <c:v>7.9</c:v>
                </c:pt>
                <c:pt idx="101">
                  <c:v>7.5</c:v>
                </c:pt>
                <c:pt idx="102">
                  <c:v>6.8</c:v>
                </c:pt>
                <c:pt idx="103">
                  <c:v>8.5</c:v>
                </c:pt>
                <c:pt idx="104">
                  <c:v>7.4</c:v>
                </c:pt>
                <c:pt idx="105">
                  <c:v>7.7</c:v>
                </c:pt>
                <c:pt idx="106">
                  <c:v>8.6</c:v>
                </c:pt>
                <c:pt idx="107">
                  <c:v>7.1</c:v>
                </c:pt>
                <c:pt idx="108">
                  <c:v>6.5</c:v>
                </c:pt>
                <c:pt idx="109">
                  <c:v>8.6</c:v>
                </c:pt>
                <c:pt idx="110">
                  <c:v>7.3</c:v>
                </c:pt>
                <c:pt idx="111">
                  <c:v>7</c:v>
                </c:pt>
                <c:pt idx="112">
                  <c:v>7.8</c:v>
                </c:pt>
                <c:pt idx="113">
                  <c:v>8.5</c:v>
                </c:pt>
                <c:pt idx="114">
                  <c:v>8.1</c:v>
                </c:pt>
                <c:pt idx="115">
                  <c:v>8.6999999999999993</c:v>
                </c:pt>
                <c:pt idx="116">
                  <c:v>7.5</c:v>
                </c:pt>
                <c:pt idx="117">
                  <c:v>5.9</c:v>
                </c:pt>
                <c:pt idx="118">
                  <c:v>7.5</c:v>
                </c:pt>
                <c:pt idx="119">
                  <c:v>8.3000000000000007</c:v>
                </c:pt>
                <c:pt idx="120">
                  <c:v>7.4</c:v>
                </c:pt>
                <c:pt idx="121">
                  <c:v>8.1</c:v>
                </c:pt>
                <c:pt idx="122">
                  <c:v>8</c:v>
                </c:pt>
                <c:pt idx="123">
                  <c:v>7.5</c:v>
                </c:pt>
                <c:pt idx="124">
                  <c:v>7.7</c:v>
                </c:pt>
                <c:pt idx="125">
                  <c:v>7.5</c:v>
                </c:pt>
                <c:pt idx="126">
                  <c:v>8.1</c:v>
                </c:pt>
                <c:pt idx="127">
                  <c:v>7.3</c:v>
                </c:pt>
                <c:pt idx="128">
                  <c:v>7</c:v>
                </c:pt>
                <c:pt idx="129">
                  <c:v>7.3</c:v>
                </c:pt>
                <c:pt idx="130">
                  <c:v>8.6999999999999993</c:v>
                </c:pt>
                <c:pt idx="131">
                  <c:v>8</c:v>
                </c:pt>
                <c:pt idx="132">
                  <c:v>6.2</c:v>
                </c:pt>
                <c:pt idx="133">
                  <c:v>8.6999999999999993</c:v>
                </c:pt>
                <c:pt idx="134">
                  <c:v>5.6</c:v>
                </c:pt>
                <c:pt idx="135">
                  <c:v>7.7</c:v>
                </c:pt>
                <c:pt idx="136">
                  <c:v>8.1</c:v>
                </c:pt>
                <c:pt idx="137">
                  <c:v>8.1</c:v>
                </c:pt>
                <c:pt idx="138">
                  <c:v>6.8</c:v>
                </c:pt>
                <c:pt idx="139">
                  <c:v>7.8</c:v>
                </c:pt>
                <c:pt idx="140">
                  <c:v>8</c:v>
                </c:pt>
                <c:pt idx="141">
                  <c:v>7.4</c:v>
                </c:pt>
                <c:pt idx="142">
                  <c:v>8.1</c:v>
                </c:pt>
                <c:pt idx="143">
                  <c:v>7.2</c:v>
                </c:pt>
                <c:pt idx="144">
                  <c:v>7.2</c:v>
                </c:pt>
                <c:pt idx="145">
                  <c:v>7.5</c:v>
                </c:pt>
                <c:pt idx="146">
                  <c:v>6.5</c:v>
                </c:pt>
                <c:pt idx="147">
                  <c:v>8.1</c:v>
                </c:pt>
                <c:pt idx="148">
                  <c:v>7</c:v>
                </c:pt>
                <c:pt idx="149">
                  <c:v>6.9</c:v>
                </c:pt>
                <c:pt idx="150">
                  <c:v>5.2</c:v>
                </c:pt>
                <c:pt idx="151">
                  <c:v>6.5</c:v>
                </c:pt>
                <c:pt idx="152">
                  <c:v>7.2</c:v>
                </c:pt>
                <c:pt idx="153">
                  <c:v>6.9</c:v>
                </c:pt>
                <c:pt idx="154">
                  <c:v>8.1999999999999993</c:v>
                </c:pt>
                <c:pt idx="155">
                  <c:v>7.3</c:v>
                </c:pt>
                <c:pt idx="156">
                  <c:v>7.6</c:v>
                </c:pt>
                <c:pt idx="157">
                  <c:v>6.3</c:v>
                </c:pt>
                <c:pt idx="158">
                  <c:v>8.8000000000000007</c:v>
                </c:pt>
                <c:pt idx="159">
                  <c:v>8</c:v>
                </c:pt>
                <c:pt idx="160">
                  <c:v>8.6999999999999993</c:v>
                </c:pt>
                <c:pt idx="161">
                  <c:v>8.1</c:v>
                </c:pt>
                <c:pt idx="162">
                  <c:v>7.5</c:v>
                </c:pt>
                <c:pt idx="163">
                  <c:v>7.6</c:v>
                </c:pt>
                <c:pt idx="164">
                  <c:v>7.1</c:v>
                </c:pt>
                <c:pt idx="165">
                  <c:v>7.8</c:v>
                </c:pt>
                <c:pt idx="166">
                  <c:v>7.2</c:v>
                </c:pt>
                <c:pt idx="167">
                  <c:v>6.8</c:v>
                </c:pt>
                <c:pt idx="168">
                  <c:v>8.5</c:v>
                </c:pt>
                <c:pt idx="169">
                  <c:v>7.1</c:v>
                </c:pt>
                <c:pt idx="170">
                  <c:v>8.4</c:v>
                </c:pt>
                <c:pt idx="171">
                  <c:v>8</c:v>
                </c:pt>
                <c:pt idx="172">
                  <c:v>7.6</c:v>
                </c:pt>
                <c:pt idx="173">
                  <c:v>7.3</c:v>
                </c:pt>
                <c:pt idx="174">
                  <c:v>7.5</c:v>
                </c:pt>
                <c:pt idx="175">
                  <c:v>7.2</c:v>
                </c:pt>
                <c:pt idx="176">
                  <c:v>6.7</c:v>
                </c:pt>
                <c:pt idx="177">
                  <c:v>6.9</c:v>
                </c:pt>
              </c:numCache>
            </c:numRef>
          </c:xVal>
          <c:yVal>
            <c:numRef>
              <c:f>'01_Netflix_2016_2025'!$L$24:$L$201</c:f>
              <c:numCache>
                <c:formatCode>General</c:formatCode>
                <c:ptCount val="178"/>
                <c:pt idx="0">
                  <c:v>12.4</c:v>
                </c:pt>
                <c:pt idx="1">
                  <c:v>0</c:v>
                </c:pt>
                <c:pt idx="2">
                  <c:v>15.5</c:v>
                </c:pt>
                <c:pt idx="3">
                  <c:v>7.4</c:v>
                </c:pt>
                <c:pt idx="4">
                  <c:v>4.5</c:v>
                </c:pt>
                <c:pt idx="5">
                  <c:v>7.1</c:v>
                </c:pt>
                <c:pt idx="6">
                  <c:v>4.9000000000000004</c:v>
                </c:pt>
                <c:pt idx="7">
                  <c:v>5.3</c:v>
                </c:pt>
                <c:pt idx="8">
                  <c:v>6.8</c:v>
                </c:pt>
                <c:pt idx="9">
                  <c:v>5.0999999999999996</c:v>
                </c:pt>
                <c:pt idx="10">
                  <c:v>0</c:v>
                </c:pt>
                <c:pt idx="11">
                  <c:v>10.1</c:v>
                </c:pt>
                <c:pt idx="12">
                  <c:v>3.2</c:v>
                </c:pt>
                <c:pt idx="13">
                  <c:v>10.5</c:v>
                </c:pt>
                <c:pt idx="14">
                  <c:v>8.5</c:v>
                </c:pt>
                <c:pt idx="15">
                  <c:v>4.8</c:v>
                </c:pt>
                <c:pt idx="16">
                  <c:v>8.1</c:v>
                </c:pt>
                <c:pt idx="17">
                  <c:v>5.2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8.1</c:v>
                </c:pt>
                <c:pt idx="22">
                  <c:v>14.2</c:v>
                </c:pt>
                <c:pt idx="23">
                  <c:v>6.5</c:v>
                </c:pt>
                <c:pt idx="24">
                  <c:v>15.7</c:v>
                </c:pt>
                <c:pt idx="25">
                  <c:v>7.4</c:v>
                </c:pt>
                <c:pt idx="26">
                  <c:v>10.4</c:v>
                </c:pt>
                <c:pt idx="27">
                  <c:v>50</c:v>
                </c:pt>
                <c:pt idx="28">
                  <c:v>30</c:v>
                </c:pt>
                <c:pt idx="29">
                  <c:v>11.5</c:v>
                </c:pt>
                <c:pt idx="30">
                  <c:v>12.8</c:v>
                </c:pt>
                <c:pt idx="31">
                  <c:v>45</c:v>
                </c:pt>
                <c:pt idx="32">
                  <c:v>40</c:v>
                </c:pt>
                <c:pt idx="33">
                  <c:v>11.2</c:v>
                </c:pt>
                <c:pt idx="34">
                  <c:v>4.8</c:v>
                </c:pt>
                <c:pt idx="35">
                  <c:v>7.1</c:v>
                </c:pt>
                <c:pt idx="36">
                  <c:v>5.2</c:v>
                </c:pt>
                <c:pt idx="37">
                  <c:v>4.8</c:v>
                </c:pt>
                <c:pt idx="38">
                  <c:v>0</c:v>
                </c:pt>
                <c:pt idx="39">
                  <c:v>0</c:v>
                </c:pt>
                <c:pt idx="40">
                  <c:v>45</c:v>
                </c:pt>
                <c:pt idx="41">
                  <c:v>40</c:v>
                </c:pt>
                <c:pt idx="42">
                  <c:v>25</c:v>
                </c:pt>
                <c:pt idx="43">
                  <c:v>30</c:v>
                </c:pt>
                <c:pt idx="44">
                  <c:v>18</c:v>
                </c:pt>
                <c:pt idx="45">
                  <c:v>12</c:v>
                </c:pt>
                <c:pt idx="46">
                  <c:v>44</c:v>
                </c:pt>
                <c:pt idx="47">
                  <c:v>12.5</c:v>
                </c:pt>
                <c:pt idx="48">
                  <c:v>33</c:v>
                </c:pt>
                <c:pt idx="49">
                  <c:v>15</c:v>
                </c:pt>
                <c:pt idx="50">
                  <c:v>30</c:v>
                </c:pt>
                <c:pt idx="51">
                  <c:v>7.4</c:v>
                </c:pt>
                <c:pt idx="52">
                  <c:v>6.5</c:v>
                </c:pt>
                <c:pt idx="53">
                  <c:v>35</c:v>
                </c:pt>
                <c:pt idx="54">
                  <c:v>10</c:v>
                </c:pt>
                <c:pt idx="55">
                  <c:v>8.3000000000000007</c:v>
                </c:pt>
                <c:pt idx="56">
                  <c:v>11.2</c:v>
                </c:pt>
                <c:pt idx="57">
                  <c:v>9.5</c:v>
                </c:pt>
                <c:pt idx="58">
                  <c:v>113.3</c:v>
                </c:pt>
                <c:pt idx="59">
                  <c:v>112.8</c:v>
                </c:pt>
                <c:pt idx="60">
                  <c:v>64</c:v>
                </c:pt>
                <c:pt idx="61">
                  <c:v>0</c:v>
                </c:pt>
                <c:pt idx="62">
                  <c:v>58</c:v>
                </c:pt>
                <c:pt idx="63">
                  <c:v>45</c:v>
                </c:pt>
                <c:pt idx="64">
                  <c:v>0</c:v>
                </c:pt>
                <c:pt idx="65">
                  <c:v>40</c:v>
                </c:pt>
                <c:pt idx="66">
                  <c:v>48</c:v>
                </c:pt>
                <c:pt idx="67">
                  <c:v>46.6</c:v>
                </c:pt>
                <c:pt idx="68">
                  <c:v>43</c:v>
                </c:pt>
                <c:pt idx="69">
                  <c:v>0</c:v>
                </c:pt>
                <c:pt idx="70">
                  <c:v>40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35</c:v>
                </c:pt>
                <c:pt idx="75">
                  <c:v>0</c:v>
                </c:pt>
                <c:pt idx="76">
                  <c:v>52</c:v>
                </c:pt>
                <c:pt idx="77">
                  <c:v>0</c:v>
                </c:pt>
                <c:pt idx="78">
                  <c:v>265.2</c:v>
                </c:pt>
                <c:pt idx="79">
                  <c:v>76</c:v>
                </c:pt>
                <c:pt idx="80">
                  <c:v>67</c:v>
                </c:pt>
                <c:pt idx="81">
                  <c:v>67</c:v>
                </c:pt>
                <c:pt idx="82">
                  <c:v>0</c:v>
                </c:pt>
                <c:pt idx="83">
                  <c:v>60</c:v>
                </c:pt>
                <c:pt idx="84">
                  <c:v>118.2</c:v>
                </c:pt>
                <c:pt idx="85">
                  <c:v>57</c:v>
                </c:pt>
                <c:pt idx="86">
                  <c:v>55</c:v>
                </c:pt>
                <c:pt idx="87">
                  <c:v>55</c:v>
                </c:pt>
                <c:pt idx="88">
                  <c:v>0</c:v>
                </c:pt>
                <c:pt idx="89">
                  <c:v>52</c:v>
                </c:pt>
                <c:pt idx="90">
                  <c:v>12.1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31</c:v>
                </c:pt>
                <c:pt idx="95">
                  <c:v>38</c:v>
                </c:pt>
                <c:pt idx="96">
                  <c:v>25</c:v>
                </c:pt>
                <c:pt idx="97">
                  <c:v>0</c:v>
                </c:pt>
                <c:pt idx="98">
                  <c:v>252.1</c:v>
                </c:pt>
                <c:pt idx="99">
                  <c:v>140.69999999999999</c:v>
                </c:pt>
                <c:pt idx="100">
                  <c:v>115.6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79.599999999999994</c:v>
                </c:pt>
                <c:pt idx="109">
                  <c:v>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99.2</c:v>
                </c:pt>
                <c:pt idx="119">
                  <c:v>71.599999999999994</c:v>
                </c:pt>
                <c:pt idx="120">
                  <c:v>77.599999999999994</c:v>
                </c:pt>
                <c:pt idx="121">
                  <c:v>43.7</c:v>
                </c:pt>
                <c:pt idx="122">
                  <c:v>52.1</c:v>
                </c:pt>
                <c:pt idx="123">
                  <c:v>68</c:v>
                </c:pt>
                <c:pt idx="124">
                  <c:v>53.2</c:v>
                </c:pt>
                <c:pt idx="125">
                  <c:v>45.3</c:v>
                </c:pt>
                <c:pt idx="126">
                  <c:v>43.9</c:v>
                </c:pt>
                <c:pt idx="127">
                  <c:v>50.9</c:v>
                </c:pt>
                <c:pt idx="128">
                  <c:v>56.7</c:v>
                </c:pt>
                <c:pt idx="129">
                  <c:v>15.3</c:v>
                </c:pt>
                <c:pt idx="130">
                  <c:v>15</c:v>
                </c:pt>
                <c:pt idx="131">
                  <c:v>15.5</c:v>
                </c:pt>
                <c:pt idx="132">
                  <c:v>21</c:v>
                </c:pt>
                <c:pt idx="133">
                  <c:v>31</c:v>
                </c:pt>
                <c:pt idx="134">
                  <c:v>20</c:v>
                </c:pt>
                <c:pt idx="135">
                  <c:v>17.7</c:v>
                </c:pt>
                <c:pt idx="136">
                  <c:v>12.1</c:v>
                </c:pt>
                <c:pt idx="137">
                  <c:v>11.2</c:v>
                </c:pt>
                <c:pt idx="138">
                  <c:v>107.5</c:v>
                </c:pt>
                <c:pt idx="139">
                  <c:v>87.6</c:v>
                </c:pt>
                <c:pt idx="140">
                  <c:v>192.6</c:v>
                </c:pt>
                <c:pt idx="141">
                  <c:v>106</c:v>
                </c:pt>
                <c:pt idx="142">
                  <c:v>75.900000000000006</c:v>
                </c:pt>
                <c:pt idx="143">
                  <c:v>71.099999999999994</c:v>
                </c:pt>
                <c:pt idx="144">
                  <c:v>69.2</c:v>
                </c:pt>
                <c:pt idx="145">
                  <c:v>52.4</c:v>
                </c:pt>
                <c:pt idx="146">
                  <c:v>75.099999999999994</c:v>
                </c:pt>
                <c:pt idx="147">
                  <c:v>39.4</c:v>
                </c:pt>
                <c:pt idx="148">
                  <c:v>48.5</c:v>
                </c:pt>
                <c:pt idx="149">
                  <c:v>30.7</c:v>
                </c:pt>
                <c:pt idx="150">
                  <c:v>84.7</c:v>
                </c:pt>
                <c:pt idx="151">
                  <c:v>31.4</c:v>
                </c:pt>
                <c:pt idx="152">
                  <c:v>25.4</c:v>
                </c:pt>
                <c:pt idx="153">
                  <c:v>25.4</c:v>
                </c:pt>
                <c:pt idx="154">
                  <c:v>29.2</c:v>
                </c:pt>
                <c:pt idx="155">
                  <c:v>20</c:v>
                </c:pt>
                <c:pt idx="156">
                  <c:v>23.9</c:v>
                </c:pt>
                <c:pt idx="157">
                  <c:v>23.3</c:v>
                </c:pt>
                <c:pt idx="158">
                  <c:v>142.6</c:v>
                </c:pt>
                <c:pt idx="159">
                  <c:v>145.80000000000001</c:v>
                </c:pt>
                <c:pt idx="160">
                  <c:v>133.80000000000001</c:v>
                </c:pt>
                <c:pt idx="161">
                  <c:v>124</c:v>
                </c:pt>
                <c:pt idx="162">
                  <c:v>482</c:v>
                </c:pt>
                <c:pt idx="163">
                  <c:v>61.3</c:v>
                </c:pt>
                <c:pt idx="164">
                  <c:v>58</c:v>
                </c:pt>
                <c:pt idx="165">
                  <c:v>93</c:v>
                </c:pt>
                <c:pt idx="166">
                  <c:v>76</c:v>
                </c:pt>
                <c:pt idx="167">
                  <c:v>66</c:v>
                </c:pt>
                <c:pt idx="168">
                  <c:v>73</c:v>
                </c:pt>
                <c:pt idx="169">
                  <c:v>108</c:v>
                </c:pt>
                <c:pt idx="170">
                  <c:v>34.799999999999997</c:v>
                </c:pt>
                <c:pt idx="171">
                  <c:v>34.1</c:v>
                </c:pt>
                <c:pt idx="172">
                  <c:v>61</c:v>
                </c:pt>
                <c:pt idx="173">
                  <c:v>32.6</c:v>
                </c:pt>
                <c:pt idx="174">
                  <c:v>33.799999999999997</c:v>
                </c:pt>
                <c:pt idx="175">
                  <c:v>33.5</c:v>
                </c:pt>
                <c:pt idx="176">
                  <c:v>41.3</c:v>
                </c:pt>
                <c:pt idx="177">
                  <c:v>39.4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75-4252-B97C-AFCEC4AFF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54896"/>
        <c:axId val="588772944"/>
      </c:scatterChart>
      <c:valAx>
        <c:axId val="7827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2944"/>
        <c:crosses val="autoZero"/>
        <c:crossBetween val="midCat"/>
      </c:valAx>
      <c:valAx>
        <c:axId val="5887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75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206</xdr:row>
      <xdr:rowOff>114300</xdr:rowOff>
    </xdr:from>
    <xdr:to>
      <xdr:col>9</xdr:col>
      <xdr:colOff>95250</xdr:colOff>
      <xdr:row>221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528284-B330-D830-5F5D-D0FD9AB18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928687</xdr:colOff>
      <xdr:row>8</xdr:row>
      <xdr:rowOff>9525</xdr:rowOff>
    </xdr:from>
    <xdr:to>
      <xdr:col>10</xdr:col>
      <xdr:colOff>233362</xdr:colOff>
      <xdr:row>21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7A53C6-186E-5499-2BD1-DA8AC3BBF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928687</xdr:colOff>
      <xdr:row>25</xdr:row>
      <xdr:rowOff>180975</xdr:rowOff>
    </xdr:from>
    <xdr:to>
      <xdr:col>10</xdr:col>
      <xdr:colOff>233362</xdr:colOff>
      <xdr:row>39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A14DD6-D1CC-6510-8630-BEDD8743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</xdr:colOff>
      <xdr:row>48</xdr:row>
      <xdr:rowOff>180975</xdr:rowOff>
    </xdr:from>
    <xdr:to>
      <xdr:col>9</xdr:col>
      <xdr:colOff>590550</xdr:colOff>
      <xdr:row>63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1AF0CA-1142-4413-97B0-5674688FF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Liaci" refreshedDate="46261.450630439816" createdVersion="8" refreshedVersion="8" minRefreshableVersion="3" recordCount="200" xr:uid="{DB1F1D6C-E4E5-4F3A-967C-1B4714C0DD5A}">
  <cacheSource type="worksheet">
    <worksheetSource ref="A1:L201" sheet="01_Netflix_2016_2025"/>
  </cacheSource>
  <cacheFields count="12">
    <cacheField name="Year" numFmtId="0">
      <sharedItems containsSemiMixedTypes="0" containsString="0" containsNumber="1" containsInteger="1" minValue="2016" maxValue="2025"/>
    </cacheField>
    <cacheField name="Title" numFmtId="0">
      <sharedItems containsMixedTypes="1" containsNumber="1" minValue="0.03" maxValue="1899"/>
    </cacheField>
    <cacheField name="IMDb" numFmtId="0">
      <sharedItems containsSemiMixedTypes="0" containsString="0" containsNumber="1" minValue="4.3" maxValue="9.3000000000000007"/>
    </cacheField>
    <cacheField name="Viewership" numFmtId="0">
      <sharedItems/>
    </cacheField>
    <cacheField name="Directors/Creators" numFmtId="0">
      <sharedItems/>
    </cacheField>
    <cacheField name="Lead Actors" numFmtId="0">
      <sharedItems/>
    </cacheField>
    <cacheField name="Release Date" numFmtId="15">
      <sharedItems containsSemiMixedTypes="0" containsNonDate="0" containsDate="1" containsString="0" minDate="2016-01-23T00:00:00" maxDate="2025-11-27T00:00:00"/>
    </cacheField>
    <cacheField name="Duration" numFmtId="0">
      <sharedItems/>
    </cacheField>
    <cacheField name="Country" numFmtId="0">
      <sharedItems count="25">
        <s v="USA"/>
        <s v="UK/USA"/>
        <s v="Brazil"/>
        <s v="USA/Colombia"/>
        <s v="UK"/>
        <s v="Spain"/>
        <s v="Canada"/>
        <s v="Canada/USA"/>
        <s v="Mexico"/>
        <s v="USA/Japan"/>
        <s v="USA/Mexico"/>
        <s v="UK/Canada"/>
        <s v="USA/Poland"/>
        <s v="South Korea"/>
        <s v="USA/France"/>
        <s v="Japan"/>
        <s v="Germany"/>
        <s v="France"/>
        <s v="UK/Italy"/>
        <s v="Australia/USA"/>
        <s v="USA/UK"/>
        <s v="Colombia"/>
        <s v="Norway"/>
        <s v="Sweden"/>
        <s v="Denmark"/>
      </sharedItems>
    </cacheField>
    <cacheField name="Genre" numFmtId="0">
      <sharedItems/>
    </cacheField>
    <cacheField name="Duration_Minutes" numFmtId="0">
      <sharedItems containsSemiMixedTypes="0" containsString="0" containsNumber="1" containsInteger="1" minValue="104" maxValue="1800"/>
    </cacheField>
    <cacheField name="Views_Millions" numFmtId="0">
      <sharedItems containsMixedTypes="1" containsNumber="1" minValue="3.2" maxValue="4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ssa Liaci" refreshedDate="46262.382662847223" createdVersion="8" refreshedVersion="8" minRefreshableVersion="3" recordCount="202" xr:uid="{6D1FD8EF-8302-46C4-B7A1-68FAAE81283E}">
  <cacheSource type="worksheet">
    <worksheetSource ref="A1:T203" sheet="01_Netflix_2016_2025"/>
  </cacheSource>
  <cacheFields count="20">
    <cacheField name="Year" numFmtId="0">
      <sharedItems containsString="0" containsBlank="1" containsNumber="1" containsInteger="1" minValue="2016" maxValue="2025"/>
    </cacheField>
    <cacheField name="Title" numFmtId="0">
      <sharedItems containsBlank="1" containsMixedTypes="1" containsNumber="1" minValue="0.03" maxValue="1899" count="183">
        <s v="Orange Is the New Black"/>
        <s v="Stranger Things"/>
        <s v="Fuller House"/>
        <s v="Marvel's Luke Cage"/>
        <s v="Marvel's Daredevil"/>
        <s v="The Crown"/>
        <s v="Gilmore Girls: AYITL"/>
        <s v="The Ranch"/>
        <s v="11.22.63"/>
        <n v="0.03"/>
        <s v="Love"/>
        <s v="Narcos"/>
        <s v="Black Mirror"/>
        <s v="Bloodline"/>
        <s v="Longmire"/>
        <s v="Chelsea Does"/>
        <s v="Flaked"/>
        <s v="BoJack Horseman"/>
        <s v="Marco Polo"/>
        <s v="Lady Dynamite"/>
        <s v="13 Reasons Why"/>
        <s v="Money Heist"/>
        <s v="American Vandal"/>
        <s v="Ozark"/>
        <s v="Mindhunter"/>
        <s v="Anne with an E"/>
        <s v="Travelers"/>
        <s v="The OA"/>
        <s v="Ingobernable"/>
        <s v="The Keepers"/>
        <s v="The Confession Tapes"/>
        <s v="Big Mouth"/>
        <s v="Neo Yokio"/>
        <s v="A Series of Unfortunate Events"/>
        <s v="GLOW"/>
        <s v="Friends from College"/>
        <s v="Atypical"/>
        <s v="Dear White People"/>
        <s v="On My Block"/>
        <s v="Making a Murderer"/>
        <s v="Last Chance U: Indy"/>
        <s v="Bodyguard"/>
        <s v="Fastest Car"/>
        <s v="The Haunting of Hill House"/>
        <s v="Insatiable"/>
        <s v="Elite"/>
        <s v="Chilling Adventures of Sabrina"/>
        <s v="Narcos: Mexico"/>
        <s v="The Umbrella Academy"/>
        <s v="You"/>
        <s v="Lost in Space"/>
        <s v="Hilda"/>
        <s v="Disenchantment"/>
        <s v="Seven Seconds"/>
        <s v="Dogs"/>
        <s v="The Witcher"/>
        <s v="Stranger Things 3"/>
        <s v="Sex Education"/>
        <s v="When They See Us"/>
        <s v="Dead to Me"/>
        <s v="After Life"/>
        <s v="Kingdom"/>
        <s v="Unbelievable"/>
        <s v="Russian Doll"/>
        <s v="Our Planet"/>
        <s v="Love, Death &amp; Robots"/>
        <s v="Peaky Blinders"/>
        <s v="Criminal: UK"/>
        <s v="Master of None"/>
        <s v="Queer Eye"/>
        <s v="Altered Carbon"/>
        <s v="Grace and Frankie"/>
        <s v="Bridgerton"/>
        <s v="The Queen's Gambit"/>
        <s v="Tiger King"/>
        <s v="Emily in Paris"/>
        <s v="Outer Banks"/>
        <s v="Love Is Blind"/>
        <s v="Never Have I Ever"/>
        <s v="Ratched"/>
        <s v="Alice in Borderland"/>
        <s v="Locke &amp; Key"/>
        <s v="Space Force"/>
        <s v="Cocomelon"/>
        <s v="Sweet Magnolias"/>
        <s v="Unorthodox"/>
        <s v="Schitt's Creek"/>
        <s v="Squid Game"/>
        <s v="Lupin"/>
        <s v="Maid"/>
        <s v="Sex/Life"/>
        <s v="Sweet Tooth"/>
        <s v="Ginny &amp; Georgia"/>
        <s v="Fate: The Winx Saga"/>
        <s v="Shadow and Bone"/>
        <s v="Arcane"/>
        <s v="Clickbait"/>
        <s v="Midnight Mass"/>
        <s v="Hellbound"/>
        <s v="My Name"/>
        <s v="D.P."/>
        <s v="The Serpent"/>
        <s v="Behind Her Eyes"/>
        <s v="Cowboy Bebop"/>
        <s v="Archive 81"/>
        <s v="Wednesday"/>
        <s v="Stranger Things 4"/>
        <s v="DAHMER"/>
        <s v="All of Us Are Dead"/>
        <s v="Inventing Anna"/>
        <s v="Bridgerton 2"/>
        <s v="The Sandman"/>
        <s v="Extraordinary Attorney Woo"/>
        <s v="Manifest"/>
        <s v="The Watcher"/>
        <s v="Heartstopper"/>
        <n v="1899"/>
        <s v="Cabinet of Curiosities"/>
        <s v="The Empress"/>
        <s v="Shuroop (Queen's Umbrella)"/>
        <s v="Little Women"/>
        <s v="Alchemy of Souls"/>
        <s v="The Recruit"/>
        <s v="Devil in Ohio"/>
        <s v="The Night Agent"/>
        <s v="One Piece"/>
        <s v="Queen Charlotte"/>
        <s v="The Glory"/>
        <s v="The Diplomat"/>
        <s v="Ginny &amp; Georgia 2"/>
        <s v="You 4"/>
        <s v="Outer Banks 3"/>
        <s v="Beckham"/>
        <s v="Dear Child"/>
        <s v="Berlin"/>
        <s v="Bodies"/>
        <s v="Blue Eye Samurai"/>
        <s v="Beef"/>
        <s v="Love Is Blind 4"/>
        <s v="Black Mirror 6"/>
        <s v="Fake Profile"/>
        <s v="My Demon"/>
        <s v="Arnold"/>
        <s v="Cunk on Earth"/>
        <s v="Fool Me Once"/>
        <s v="Baby Reindeer"/>
        <s v="Squid Game 2"/>
        <s v="Bridgerton 3"/>
        <s v="The Gentlemen"/>
        <s v="Avatar: Airbender"/>
        <s v="Griselda"/>
        <s v="3 Body Problem"/>
        <s v="The Perfect Couple"/>
        <s v="One Day"/>
        <s v="The Asunta Case"/>
        <s v="Under Paris"/>
        <s v="La Palma"/>
        <s v="Raising Voices"/>
        <s v="Parasyte: The Grey"/>
        <s v="Queen of Tears"/>
        <s v="Vikings: Valhalla 3"/>
        <s v="The Brothers Sun"/>
        <s v="Furies"/>
        <s v="Adolescence"/>
        <s v="Squid Game 3"/>
        <s v="Stranger Things 5"/>
        <s v="Wednesday 2"/>
        <s v="KPop Demon Hunters"/>
        <s v="Zero Day"/>
        <s v="Missing You"/>
        <s v="UNTAMED"/>
        <s v="A House of Dynamite"/>
        <s v="The Great Flood"/>
        <s v="Ms. Rachel"/>
        <s v="Gabby's Dollhouse"/>
        <s v="When Life Tangerines"/>
        <s v="Trauma Code: Heroes"/>
        <s v="The Åre Murders"/>
        <s v="Secrets We Keep"/>
        <s v="The Gardener"/>
        <s v="Running Point"/>
        <s v="The Four Seasons"/>
        <m/>
      </sharedItems>
    </cacheField>
    <cacheField name="IMDb" numFmtId="0">
      <sharedItems containsString="0" containsBlank="1" containsNumber="1" minValue="4.3" maxValue="9.3000000000000007"/>
    </cacheField>
    <cacheField name="Viewership" numFmtId="0">
      <sharedItems containsBlank="1"/>
    </cacheField>
    <cacheField name="Directors/Creators" numFmtId="0">
      <sharedItems containsBlank="1"/>
    </cacheField>
    <cacheField name="Lead Actors" numFmtId="0">
      <sharedItems containsBlank="1"/>
    </cacheField>
    <cacheField name="Release Date" numFmtId="0">
      <sharedItems containsNonDate="0" containsDate="1" containsString="0" containsBlank="1" minDate="2016-01-23T00:00:00" maxDate="2025-11-27T00:00:00"/>
    </cacheField>
    <cacheField name="Duration" numFmtId="0">
      <sharedItems containsBlank="1"/>
    </cacheField>
    <cacheField name="Country" numFmtId="0">
      <sharedItems containsBlank="1"/>
    </cacheField>
    <cacheField name="Genre" numFmtId="0">
      <sharedItems containsBlank="1" count="125">
        <s v="Comedy Drama "/>
        <s v="Sci-Fi / Horror "/>
        <s v="Sitcom / Comedy "/>
        <s v="Action / Superhero"/>
        <s v="Superhero"/>
        <s v="Biography / History "/>
        <s v="Family Drama "/>
        <s v="Comedy / Sitcom"/>
        <s v="Sci-Fi "/>
        <s v="Sci-Fi / Drama "/>
        <s v="Romance / Comedy "/>
        <s v="Crime Drama "/>
        <s v="Sci-Fi / Anthology"/>
        <s v="Thriller / Drama "/>
        <s v="Documentary "/>
        <s v="Comedy / Drama "/>
        <s v="Adult Animation"/>
        <s v="Historical Drama "/>
        <s v="Comedy"/>
        <s v="Teen Drama / Mystery "/>
        <s v="Heist / Crime "/>
        <s v="Satirical True Crime "/>
        <s v="Sci-Fi / Thriller "/>
        <s v="Sci-Fi / Mystery"/>
        <s v="Sci-Fi / Mystery "/>
        <s v="Political Drama"/>
        <s v="True Crime Doc"/>
        <s v="Adult Animation "/>
        <s v="Black Comedy"/>
        <s v="Comedy / Drama"/>
        <s v="Comedy "/>
        <s v="Coming-of-age "/>
        <s v="Satire / Drama"/>
        <s v="Coming-of-age"/>
        <s v="Teen Drama "/>
        <s v="Sports Doc"/>
        <s v="Political Thriller"/>
        <s v="Reality / Auto"/>
        <s v="Horror "/>
        <s v="Dark Comedy"/>
        <s v="Teen Thriller "/>
        <s v="Supernatural Horror "/>
        <s v="Superhero Action "/>
        <s v="Psych Thriller"/>
        <s v="Sci-Fi Adventure "/>
        <s v="Animation / Adventure "/>
        <s v="Fantasy Drama "/>
        <s v="Drama / Legal "/>
        <s v="Black Comedy "/>
        <s v="Period Zombie Horror"/>
        <s v="Sci-Fi / Comedy "/>
        <s v="Nature Doc "/>
        <s v="Sci-Fi Anthology"/>
        <s v="Period Crime "/>
        <s v="Police Procedural "/>
        <s v="Reality TV"/>
        <s v="Sci-Fi / Cyberpunk "/>
        <s v="Period Romance "/>
        <s v="Period Drama "/>
        <s v="True Crime Doc "/>
        <s v="Rom-Com "/>
        <s v="Teen Adventure "/>
        <s v="Dating Reality "/>
        <s v="Psych Thriller "/>
        <s v="Survival Thriller "/>
        <s v="Fantasy / Horror "/>
        <s v="Workplace Comedy "/>
        <s v="Kids / Animation "/>
        <s v="Romance / Drama "/>
        <s v="Drama "/>
        <s v="Sitcom "/>
        <s v="Survival Drama "/>
        <s v="Mystery Thriller"/>
        <s v="Drama / Romance "/>
        <s v="Teen Fantasy "/>
        <s v="Animation / Action "/>
        <s v="Supernatural Horror"/>
        <s v="Supernatural Thriller"/>
        <s v="Crime Thriller"/>
        <s v="Military Drama"/>
        <s v="True Crime Drama "/>
        <s v="Sci-Fi / Western "/>
        <s v="Horror / Mystery "/>
        <s v="Supernatural Mystery "/>
        <s v="True Crime / Drama "/>
        <s v="Zombie Horror "/>
        <s v="Legal Drama "/>
        <s v="Mystery / Thriller "/>
        <s v="Teen Romance"/>
        <s v="Horror Anthology "/>
        <s v="Mystery / Drama "/>
        <s v="Fantasy Romance "/>
        <s v="Spy Adventure "/>
        <s v="Action Thriller "/>
        <s v="Action Adventure"/>
        <s v="Period Drama / Rom "/>
        <s v="Revenge Thriller "/>
        <s v="Political Drama "/>
        <s v="Crime / Thriller"/>
        <s v="Heist / Crime"/>
        <s v="Sci-Fi / Crime"/>
        <s v="Dark Comedy / Drama"/>
        <s v="Mystery / Drama"/>
        <s v="Fantasy Romance"/>
        <s v="Mockumentary"/>
        <s v="Crime / Mystery"/>
        <s v="Crime Comedy"/>
        <s v="Fantasy / Action"/>
        <s v="Biography / Crime"/>
        <s v="Science Fiction"/>
        <s v="Romance / Drama"/>
        <s v="True Crime Drama"/>
        <s v="Action Horror"/>
        <s v="Disaster Drama"/>
        <s v="Teen Drama"/>
        <s v="Sci-Fi / Horror"/>
        <s v="Romance Drama"/>
        <s v="Action / Comedy"/>
        <s v="Action / Crime"/>
        <s v="Musical Fantasy "/>
        <s v="Science Fiction "/>
        <s v="Kids / Family "/>
        <s v="Medical Drama "/>
        <s v="Crime Drama"/>
        <m/>
      </sharedItems>
    </cacheField>
    <cacheField name="Duration_Minutes" numFmtId="0">
      <sharedItems containsString="0" containsBlank="1" containsNumber="1" containsInteger="1" minValue="104" maxValue="1800"/>
    </cacheField>
    <cacheField name="Views_Millions" numFmtId="0">
      <sharedItems containsMixedTypes="1" containsNumber="1" minValue="3.2" maxValue="482"/>
    </cacheField>
    <cacheField name="Average Imdb" numFmtId="0">
      <sharedItems containsString="0" containsBlank="1" containsNumber="1" minValue="7.6969999999999956" maxValue="7.6969999999999956"/>
    </cacheField>
    <cacheField name="Min Imdb rating  High Rating" numFmtId="0">
      <sharedItems containsString="0" containsBlank="1" containsNumber="1" minValue="4.3" maxValue="4.3"/>
    </cacheField>
    <cacheField name="Max Imdb rating " numFmtId="0">
      <sharedItems containsString="0" containsBlank="1" containsNumber="1" minValue="9.3000000000000007" maxValue="9.3000000000000007"/>
    </cacheField>
    <cacheField name="Imdb above 8" numFmtId="0">
      <sharedItems containsBlank="1" containsMixedTypes="1" containsNumber="1" minValue="0.35" maxValue="70"/>
    </cacheField>
    <cacheField name="Average  Views" numFmtId="0">
      <sharedItems containsString="0" containsBlank="1" containsNumber="1" minValue="49.154929577464777" maxValue="49.154929577464777"/>
    </cacheField>
    <cacheField name="Min Views " numFmtId="0">
      <sharedItems containsString="0" containsBlank="1" containsNumber="1" minValue="3.2" maxValue="3.2"/>
    </cacheField>
    <cacheField name="Max Views" numFmtId="0">
      <sharedItems containsString="0" containsBlank="1" containsNumber="1" containsInteger="1" minValue="482" maxValue="482"/>
    </cacheField>
    <cacheField name="Correl Views&amp;Imdb" numFmtId="0">
      <sharedItems containsString="0" containsBlank="1" containsNumber="1" minValue="6.3886466909483103E-3" maxValue="6.3886466909483103E-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016"/>
    <s v="Orange Is the New Black"/>
    <n v="8"/>
    <s v="23.0M Streams"/>
    <s v="Jenji Kohan"/>
    <s v="Taylor Schilling, Uzo Aduba"/>
    <d v="2016-06-17T00:00:00"/>
    <s v="S4; 730 min"/>
    <x v="0"/>
    <s v="Comedy Drama "/>
    <n v="730"/>
    <s v=""/>
  </r>
  <r>
    <n v="2016"/>
    <s v="Stranger Things"/>
    <n v="8.6999999999999993"/>
    <s v="21.7M Streams"/>
    <s v="The Duffer Brothers"/>
    <s v="Winona Ryder, Millie Bobby Brown"/>
    <d v="2016-07-15T00:00:00"/>
    <s v="S1; 400 min"/>
    <x v="0"/>
    <s v="Sci-Fi / Horror "/>
    <n v="400"/>
    <s v=""/>
  </r>
  <r>
    <n v="2016"/>
    <s v="Fuller House"/>
    <n v="6.7"/>
    <s v="21.5M Streams"/>
    <s v="Jeff Franklin"/>
    <s v="Candace Cameron Bure, Jodie Sweetin"/>
    <d v="2016-02-25T00:00:00"/>
    <s v="S1; 390 min"/>
    <x v="0"/>
    <s v="Sitcom / Comedy "/>
    <n v="390"/>
    <s v=""/>
  </r>
  <r>
    <n v="2016"/>
    <s v="Marvel's Luke Cage"/>
    <n v="7.3"/>
    <s v="12.1M Streams"/>
    <s v="Cheo Hodari Coker"/>
    <s v="Mike Colter, Alfre Woodard"/>
    <d v="2016-09-30T00:00:00"/>
    <s v="S1; 715 min"/>
    <x v="0"/>
    <s v="Action / Superhero"/>
    <n v="715"/>
    <s v=""/>
  </r>
  <r>
    <n v="2016"/>
    <s v="Marvel's Daredevil"/>
    <n v="8.6"/>
    <s v="11.6M Streams"/>
    <s v="Drew Goddard"/>
    <s v="Charlie Cox, Deborah Ann Woll"/>
    <d v="2016-03-18T00:00:00"/>
    <s v="S2; 650 min"/>
    <x v="0"/>
    <s v="Superhero"/>
    <n v="650"/>
    <s v=""/>
  </r>
  <r>
    <n v="2016"/>
    <s v="The Crown"/>
    <n v="8.6"/>
    <s v="7.0M Streams"/>
    <s v="Peter Morgan"/>
    <s v="Claire Foy, Matt Smith"/>
    <d v="2016-11-04T00:00:00"/>
    <s v="S1; 600 min"/>
    <x v="1"/>
    <s v="Biography / History "/>
    <n v="600"/>
    <s v=""/>
  </r>
  <r>
    <n v="2016"/>
    <s v="Gilmore Girls: AYITL"/>
    <n v="7.6"/>
    <s v="6.3M Streams"/>
    <s v="Amy Sherman-Palladino"/>
    <s v="Lauren Graham, Alexis Bledel"/>
    <d v="2016-11-25T00:00:00"/>
    <s v="4 Eps; 360 min"/>
    <x v="0"/>
    <s v="Family Drama "/>
    <n v="360"/>
    <s v=""/>
  </r>
  <r>
    <n v="2016"/>
    <s v="The Ranch"/>
    <n v="7.5"/>
    <s v="5.8M Streams"/>
    <s v="Don Reo"/>
    <s v="Ashton Kutcher, Sam Elliott"/>
    <d v="2016-04-01T00:00:00"/>
    <s v="P1; 300 min"/>
    <x v="0"/>
    <s v="Comedy / Sitcom"/>
    <n v="300"/>
    <s v=""/>
  </r>
  <r>
    <n v="2016"/>
    <s v="11.22.63"/>
    <n v="8.1"/>
    <s v="5.3M Streams"/>
    <s v="Bridget Carpenter"/>
    <s v="James Franco, Sarah Gadon"/>
    <d v="2016-02-15T00:00:00"/>
    <s v="8 Eps; 440 min"/>
    <x v="0"/>
    <s v="Sci-Fi "/>
    <n v="440"/>
    <s v=""/>
  </r>
  <r>
    <n v="2016"/>
    <n v="0.03"/>
    <n v="7.3"/>
    <s v="4.5M Streams"/>
    <s v="Pedro Aguilera"/>
    <s v="Bianca Comparato"/>
    <d v="2016-11-25T00:00:00"/>
    <s v="S1; 380 min"/>
    <x v="2"/>
    <s v="Sci-Fi / Drama "/>
    <n v="380"/>
    <s v=""/>
  </r>
  <r>
    <n v="2016"/>
    <s v="Love"/>
    <n v="7.7"/>
    <s v="4.0M Streams"/>
    <s v="Judd Apatow"/>
    <s v="Gillian Jacobs, Paul Rust"/>
    <d v="2016-02-19T00:00:00"/>
    <s v="S1; 300 min"/>
    <x v="0"/>
    <s v="Romance / Comedy "/>
    <n v="300"/>
    <s v=""/>
  </r>
  <r>
    <n v="2016"/>
    <s v="Narcos"/>
    <n v="8.8000000000000007"/>
    <s v="3.8M Streams"/>
    <s v="Chris Brancato"/>
    <s v="Wagner Moura, Pedro Pascal"/>
    <d v="2016-09-02T00:00:00"/>
    <s v="S2; 500 min"/>
    <x v="3"/>
    <s v="Crime Drama "/>
    <n v="500"/>
    <s v=""/>
  </r>
  <r>
    <n v="2016"/>
    <s v="Black Mirror"/>
    <n v="8.6999999999999993"/>
    <s v="3.7M Streams"/>
    <s v="Charlie Brooker"/>
    <s v="Gugu Mbatha-Raw, Bryce Dallas Howard"/>
    <d v="2016-10-21T00:00:00"/>
    <s v="S3; 360 min"/>
    <x v="4"/>
    <s v="Sci-Fi / Anthology"/>
    <n v="360"/>
    <s v=""/>
  </r>
  <r>
    <n v="2016"/>
    <s v="Bloodline"/>
    <n v="7.9"/>
    <s v="3.3M Streams"/>
    <s v="Todd A. Kessler"/>
    <s v="Kyle Chandler, Ben Mendelsohn"/>
    <d v="2016-05-27T00:00:00"/>
    <s v="S2; 600 min"/>
    <x v="0"/>
    <s v="Thriller / Drama "/>
    <n v="600"/>
    <s v=""/>
  </r>
  <r>
    <n v="2016"/>
    <s v="Longmire"/>
    <n v="8.3000000000000007"/>
    <s v="3.2M Streams"/>
    <s v="John Coveny"/>
    <s v="Robert Taylor, Katee Sackhoff"/>
    <d v="2016-09-23T00:00:00"/>
    <s v="S5; 600 min"/>
    <x v="0"/>
    <s v="Crime Drama "/>
    <n v="600"/>
    <s v=""/>
  </r>
  <r>
    <n v="2016"/>
    <s v="Chelsea Does"/>
    <n v="7.2"/>
    <s v="2.7M Streams"/>
    <s v="Eddie Schmidt"/>
    <s v="Chelsea Handler"/>
    <d v="2016-01-23T00:00:00"/>
    <s v="4 Eps; 240 min"/>
    <x v="0"/>
    <s v="Documentary "/>
    <n v="240"/>
    <s v=""/>
  </r>
  <r>
    <n v="2016"/>
    <s v="Flaked"/>
    <n v="7.2"/>
    <s v="2.04M Streams"/>
    <s v="Will Arnett"/>
    <s v="Will Arnett, David Sullivan"/>
    <d v="2016-03-11T00:00:00"/>
    <s v="S1; 240 min"/>
    <x v="0"/>
    <s v="Comedy / Drama "/>
    <n v="240"/>
    <s v=""/>
  </r>
  <r>
    <n v="2016"/>
    <s v="BoJack Horseman"/>
    <n v="8.8000000000000007"/>
    <s v="2.0M Streams"/>
    <s v="R. Bob-Waksberg"/>
    <s v="Will Arnett, Aaron Paul"/>
    <d v="2016-07-22T00:00:00"/>
    <s v="S3; 300 min"/>
    <x v="0"/>
    <s v="Adult Animation"/>
    <n v="300"/>
    <s v=""/>
  </r>
  <r>
    <n v="2016"/>
    <s v="Marco Polo"/>
    <n v="8"/>
    <s v="1.9M Streams"/>
    <s v="John Fusco"/>
    <s v="Lorenzo Richelmy, Benedict Wong"/>
    <d v="2016-07-01T00:00:00"/>
    <s v="S2; 600 min"/>
    <x v="0"/>
    <s v="Historical Drama "/>
    <n v="600"/>
    <s v=""/>
  </r>
  <r>
    <n v="2016"/>
    <s v="Lady Dynamite"/>
    <n v="7.4"/>
    <s v="1.8M Streams"/>
    <s v="Maria Bamford"/>
    <s v="Maria Bamford, Fred Melamed"/>
    <d v="2016-05-20T00:00:00"/>
    <s v="S1; 360 min"/>
    <x v="0"/>
    <s v="Comedy"/>
    <n v="360"/>
    <s v=""/>
  </r>
  <r>
    <n v="2017"/>
    <s v="13 Reasons Why"/>
    <n v="7.5"/>
    <s v="475M Hours (S1)"/>
    <s v="Brian Yorkey"/>
    <s v="Dylan Minnette, Katherine Langford"/>
    <d v="2017-03-31T00:00:00"/>
    <s v="S1; 780 min"/>
    <x v="0"/>
    <s v="Teen Drama / Mystery "/>
    <n v="780"/>
    <s v=""/>
  </r>
  <r>
    <n v="2017"/>
    <s v="Money Heist"/>
    <n v="8.1999999999999993"/>
    <s v="426M Hours (P3)"/>
    <s v="Álex Pina"/>
    <s v="Álvaro Morte, Úrsula Corberó"/>
    <d v="2017-05-02T00:00:00"/>
    <s v="P1; 600 min"/>
    <x v="5"/>
    <s v="Heist / Crime "/>
    <n v="600"/>
    <s v=""/>
  </r>
  <r>
    <n v="2017"/>
    <s v="American Vandal"/>
    <n v="8.1999999999999993"/>
    <s v="12.4M Views"/>
    <s v="Tony Yacenda"/>
    <s v="Tyler Alvarez, Griffin Gluck"/>
    <d v="2017-09-15T00:00:00"/>
    <s v="S1; 240 min"/>
    <x v="0"/>
    <s v="Satirical True Crime "/>
    <n v="240"/>
    <n v="12.4"/>
  </r>
  <r>
    <n v="2017"/>
    <s v="Ozark"/>
    <n v="8.5"/>
    <s v="491M Hours (S4)"/>
    <s v="Bill Dubuque"/>
    <s v="Jason Bateman, Laura Linney"/>
    <d v="2017-07-21T00:00:00"/>
    <s v="S1; 600 min"/>
    <x v="0"/>
    <s v="Crime Drama "/>
    <n v="600"/>
    <s v=""/>
  </r>
  <r>
    <n v="2017"/>
    <s v="Mindhunter"/>
    <n v="8.6"/>
    <s v="15.5M Views"/>
    <s v="Joe Penhall"/>
    <s v="Jonathan Groff, Holt McCallany"/>
    <d v="2017-10-13T00:00:00"/>
    <s v="S1; 500 min"/>
    <x v="0"/>
    <s v="Crime Drama "/>
    <n v="500"/>
    <n v="15.5"/>
  </r>
  <r>
    <n v="2017"/>
    <s v="Anne with an E"/>
    <n v="8.6999999999999993"/>
    <s v="7.4M Views"/>
    <s v="Moira Walley-Beckett"/>
    <s v="Amybeth McNulty"/>
    <d v="2017-03-19T00:00:00"/>
    <s v="S1; 330 min"/>
    <x v="6"/>
    <s v="Family Drama "/>
    <n v="330"/>
    <n v="7.4"/>
  </r>
  <r>
    <n v="2017"/>
    <n v="0.03"/>
    <n v="7.3"/>
    <s v="4.5M Views (S1)"/>
    <s v="Pedro Aguilera"/>
    <s v="Bianca Comparato"/>
    <d v="2016-11-25T00:00:00"/>
    <s v="S1; 380 min"/>
    <x v="2"/>
    <s v="Sci-Fi / Thriller "/>
    <n v="380"/>
    <n v="4.5"/>
  </r>
  <r>
    <n v="2017"/>
    <s v="Travelers"/>
    <n v="8"/>
    <s v="7.1M Views"/>
    <s v="Brad Wright"/>
    <s v="Eric McCormack"/>
    <d v="2016-12-23T00:00:00"/>
    <s v="S1; 540 min"/>
    <x v="7"/>
    <s v="Sci-Fi / Mystery"/>
    <n v="540"/>
    <n v="7.1"/>
  </r>
  <r>
    <n v="2017"/>
    <s v="The OA"/>
    <n v="7.8"/>
    <s v="4.9M Views"/>
    <s v="Brit Marling"/>
    <s v="Brit Marling, Jason Isaacs"/>
    <d v="2016-12-16T00:00:00"/>
    <s v="P1; 480 min"/>
    <x v="0"/>
    <s v="Sci-Fi / Mystery "/>
    <n v="480"/>
    <n v="4.9000000000000004"/>
  </r>
  <r>
    <n v="2017"/>
    <s v="Ingobernable"/>
    <n v="6.9"/>
    <s v="5.3M Views"/>
    <s v="Epigmenio Ibarra"/>
    <s v="Kate del Castillo"/>
    <d v="2017-03-24T00:00:00"/>
    <s v="S1; 450 min"/>
    <x v="8"/>
    <s v="Political Drama"/>
    <n v="450"/>
    <n v="5.3"/>
  </r>
  <r>
    <n v="2017"/>
    <s v="The Keepers"/>
    <n v="8.1"/>
    <s v="6.8M Views"/>
    <s v="Ryan White"/>
    <s v="Documentary"/>
    <d v="2017-05-19T00:00:00"/>
    <s v="7 Eps; 420 min"/>
    <x v="0"/>
    <s v="True Crime Doc"/>
    <n v="420"/>
    <n v="6.8"/>
  </r>
  <r>
    <n v="2017"/>
    <s v="The Confession Tapes"/>
    <n v="7.5"/>
    <s v="5.1M Views"/>
    <s v="Kelly Loudenberg"/>
    <s v="Documentary"/>
    <d v="2017-09-07T00:00:00"/>
    <s v="S1; 300 min"/>
    <x v="0"/>
    <s v="True Crime Doc"/>
    <n v="300"/>
    <n v="5.0999999999999996"/>
  </r>
  <r>
    <n v="2017"/>
    <s v="The Crown"/>
    <n v="8.6"/>
    <s v="16B Minutes"/>
    <s v="Peter Morgan"/>
    <s v="Claire Foy, Matt Smith"/>
    <d v="2017-12-08T00:00:00"/>
    <s v="S2; 600 min"/>
    <x v="4"/>
    <s v="Biography / History "/>
    <n v="600"/>
    <s v=""/>
  </r>
  <r>
    <n v="2017"/>
    <s v="Big Mouth"/>
    <n v="7.9"/>
    <s v="10.1M Views"/>
    <s v="Nick Kroll"/>
    <s v="Nick Kroll, John Mulaney"/>
    <d v="2017-09-29T00:00:00"/>
    <s v="S1; 300 min"/>
    <x v="0"/>
    <s v="Adult Animation"/>
    <n v="300"/>
    <n v="10.1"/>
  </r>
  <r>
    <n v="2017"/>
    <s v="Neo Yokio"/>
    <n v="5.8"/>
    <s v="3.2M Views"/>
    <s v="Ezra Koenig"/>
    <s v="Jaden Smith, Jude Law"/>
    <d v="2017-09-22T00:00:00"/>
    <s v="S1; 140 min"/>
    <x v="9"/>
    <s v="Adult Animation "/>
    <n v="140"/>
    <n v="3.2"/>
  </r>
  <r>
    <n v="2017"/>
    <s v="A Series of Unfortunate Events"/>
    <n v="7.8"/>
    <s v="10.5M Views"/>
    <s v="Barry Sonnenfeld"/>
    <s v="Neil Patrick Harris"/>
    <d v="2017-01-13T00:00:00"/>
    <s v="S1; 400 min"/>
    <x v="0"/>
    <s v="Black Comedy"/>
    <n v="400"/>
    <n v="10.5"/>
  </r>
  <r>
    <n v="2017"/>
    <s v="GLOW"/>
    <n v="8"/>
    <s v="8.5M Views"/>
    <s v="Liz Flahive"/>
    <s v="Alison Brie, Marc Maron"/>
    <d v="2017-06-23T00:00:00"/>
    <s v="S1; 300 min"/>
    <x v="0"/>
    <s v="Comedy / Drama"/>
    <n v="300"/>
    <n v="8.5"/>
  </r>
  <r>
    <n v="2017"/>
    <s v="Friends from College"/>
    <n v="6.9"/>
    <s v="4.8M Views"/>
    <s v="Nicholas Stoller"/>
    <s v="Keegan-Michael Key"/>
    <d v="2017-07-14T00:00:00"/>
    <s v="S1; 240 min"/>
    <x v="0"/>
    <s v="Comedy "/>
    <n v="240"/>
    <n v="4.8"/>
  </r>
  <r>
    <n v="2017"/>
    <s v="Atypical"/>
    <n v="8.1999999999999993"/>
    <s v="8.1M Views"/>
    <s v="Robia Rashid"/>
    <s v="Keir Gilchrist, Jennifer Jason Leigh"/>
    <d v="2017-08-11T00:00:00"/>
    <s v="S1; 240 min"/>
    <x v="0"/>
    <s v="Coming-of-age "/>
    <n v="240"/>
    <n v="8.1"/>
  </r>
  <r>
    <n v="2017"/>
    <s v="Dear White People"/>
    <n v="6.4"/>
    <s v="5.2M Views"/>
    <s v="Justin Simien"/>
    <s v="Logan Browning, Brandon P. Bell"/>
    <d v="2017-04-28T00:00:00"/>
    <s v="V1; 300 min"/>
    <x v="0"/>
    <s v="Satire / Drama"/>
    <n v="300"/>
    <n v="5.2"/>
  </r>
  <r>
    <n v="2018"/>
    <s v="On My Block"/>
    <n v="7.9"/>
    <s v="High Rewatch Rate"/>
    <s v="Lauren Iungerich"/>
    <s v="Sierra Capri, Jason Genao"/>
    <d v="2018-03-16T00:00:00"/>
    <s v="S1; 300 min"/>
    <x v="0"/>
    <s v="Coming-of-age"/>
    <n v="300"/>
    <s v=""/>
  </r>
  <r>
    <n v="2018"/>
    <s v="Making a Murderer"/>
    <n v="8.6"/>
    <s v="13.4M (S1)"/>
    <s v="Laura Ricciardi"/>
    <s v="Steven Avery"/>
    <d v="2018-10-19T00:00:00"/>
    <s v="P2; 600 min"/>
    <x v="0"/>
    <s v="True Crime Doc"/>
    <n v="600"/>
    <s v=""/>
  </r>
  <r>
    <n v="2018"/>
    <s v="13 Reasons Why"/>
    <n v="7.5"/>
    <s v="496M Hours (S2)"/>
    <s v="Brian Yorkey"/>
    <s v="Dylan Minnette"/>
    <d v="2018-05-18T00:00:00"/>
    <s v="S2; 780 min"/>
    <x v="0"/>
    <s v="Teen Drama "/>
    <n v="780"/>
    <s v=""/>
  </r>
  <r>
    <n v="2018"/>
    <s v="Last Chance U: Indy"/>
    <n v="8.4"/>
    <s v="8.1M Views"/>
    <s v="Greg Whiteley"/>
    <s v="Documentary"/>
    <d v="2018-07-20T00:00:00"/>
    <s v="S3; 480 min"/>
    <x v="0"/>
    <s v="Sports Doc"/>
    <n v="480"/>
    <n v="8.1"/>
  </r>
  <r>
    <n v="2018"/>
    <s v="Bodyguard"/>
    <n v="8.1"/>
    <s v="14.2M Views"/>
    <s v="Jed Mercurio"/>
    <s v="Richard Madden"/>
    <d v="2018-10-24T00:00:00"/>
    <s v="S1; 360 min"/>
    <x v="4"/>
    <s v="Political Thriller"/>
    <n v="360"/>
    <n v="14.2"/>
  </r>
  <r>
    <n v="2018"/>
    <s v="Fastest Car"/>
    <n v="7.1"/>
    <s v="6.5M Views"/>
    <s v="Scott Weintrob"/>
    <s v="Reality"/>
    <d v="2018-04-06T00:00:00"/>
    <s v="S1; 400 min"/>
    <x v="0"/>
    <s v="Reality / Auto"/>
    <n v="400"/>
    <n v="6.5"/>
  </r>
  <r>
    <n v="2018"/>
    <s v="The Haunting of Hill House"/>
    <n v="8.5"/>
    <s v="15.7M Views"/>
    <s v="Mike Flanagan"/>
    <s v="Michiel Huisman, Carla Gugino"/>
    <d v="2018-10-12T00:00:00"/>
    <s v="10 Eps; 570 min"/>
    <x v="0"/>
    <s v="Horror "/>
    <n v="570"/>
    <n v="15.7"/>
  </r>
  <r>
    <n v="2018"/>
    <s v="Anne with an E"/>
    <n v="8.6999999999999993"/>
    <s v="7.4M Views"/>
    <s v="M. Walley-Beckett"/>
    <s v="Amybeth McNulty"/>
    <d v="2018-07-06T00:00:00"/>
    <s v="S2; 450 min"/>
    <x v="6"/>
    <s v="Family Drama "/>
    <n v="450"/>
    <n v="7.4"/>
  </r>
  <r>
    <n v="2018"/>
    <s v="Insatiable"/>
    <n v="6.5"/>
    <s v="10.4M Views"/>
    <s v="Lauren Gussis"/>
    <s v="Debby Ryan"/>
    <d v="2018-08-10T00:00:00"/>
    <s v="S1; 540 min"/>
    <x v="0"/>
    <s v="Dark Comedy"/>
    <n v="540"/>
    <n v="10.4"/>
  </r>
  <r>
    <n v="2018"/>
    <s v="Orange Is the New Black"/>
    <n v="8"/>
    <s v="50M Views (S6)"/>
    <s v="Jenji Kohan"/>
    <s v="Taylor Schilling"/>
    <d v="2018-07-27T00:00:00"/>
    <s v="S6; 780 min"/>
    <x v="0"/>
    <s v="Comedy Drama "/>
    <n v="780"/>
    <n v="50"/>
  </r>
  <r>
    <n v="2018"/>
    <s v="Elite"/>
    <n v="7.2"/>
    <s v="30M Views (S1)"/>
    <s v="Carlos Montero"/>
    <s v="Itzan Escamilla"/>
    <d v="2018-10-05T00:00:00"/>
    <s v="S1; 400 min"/>
    <x v="5"/>
    <s v="Teen Thriller "/>
    <n v="400"/>
    <n v="30"/>
  </r>
  <r>
    <n v="2018"/>
    <s v="Chilling Adventures of Sabrina"/>
    <n v="7.4"/>
    <s v="11.5M Views"/>
    <s v="R. Aguirre-Sacasa"/>
    <s v="Kiernan Shipka"/>
    <d v="2018-10-26T00:00:00"/>
    <s v="P1; 500 min"/>
    <x v="0"/>
    <s v="Supernatural Horror "/>
    <n v="500"/>
    <n v="11.5"/>
  </r>
  <r>
    <n v="2018"/>
    <s v="Narcos: Mexico"/>
    <n v="8.4"/>
    <s v="12.8M Views"/>
    <s v="Carlo Bernard"/>
    <s v="Michael Peña, Diego Luna"/>
    <d v="2018-11-16T00:00:00"/>
    <s v="S1; 550 min"/>
    <x v="10"/>
    <s v="Crime Drama "/>
    <n v="550"/>
    <n v="12.8"/>
  </r>
  <r>
    <n v="2018"/>
    <s v="The Umbrella Academy"/>
    <n v="7.9"/>
    <s v="45M Views (S1)"/>
    <s v="Steve Blackman"/>
    <s v="Elliot Page"/>
    <d v="2019-02-15T00:00:00"/>
    <s v="S1; 600 min"/>
    <x v="0"/>
    <s v="Superhero Action "/>
    <n v="600"/>
    <n v="45"/>
  </r>
  <r>
    <n v="2018"/>
    <s v="You"/>
    <n v="7.7"/>
    <s v="40M Views (S1)"/>
    <s v="Greg Berlanti"/>
    <s v="Penn Badgley"/>
    <d v="2018-12-26T00:00:00"/>
    <s v="S1; 450 min"/>
    <x v="0"/>
    <s v="Psych Thriller"/>
    <n v="450"/>
    <n v="40"/>
  </r>
  <r>
    <n v="2018"/>
    <s v="Lost in Space"/>
    <n v="7.3"/>
    <s v="11.2M Views"/>
    <s v="Matt Sazama"/>
    <s v="Toby Stephens"/>
    <d v="2018-04-13T00:00:00"/>
    <s v="S1; 600 min"/>
    <x v="0"/>
    <s v="Sci-Fi Adventure "/>
    <n v="600"/>
    <n v="11.2"/>
  </r>
  <r>
    <n v="2018"/>
    <s v="Hilda"/>
    <n v="8.6"/>
    <s v="4.8M Views"/>
    <s v="Luke Pearson"/>
    <s v="Bella Ramsey"/>
    <d v="2018-09-21T00:00:00"/>
    <s v="S1; 300 min"/>
    <x v="11"/>
    <s v="Animation / Adventure "/>
    <n v="300"/>
    <n v="4.8"/>
  </r>
  <r>
    <n v="2018"/>
    <s v="Disenchantment"/>
    <n v="7.2"/>
    <s v="7.1M Views"/>
    <s v="Matt Groening"/>
    <s v="Abbi Jacobson"/>
    <d v="2018-08-17T00:00:00"/>
    <s v="P1; 300 min"/>
    <x v="0"/>
    <s v="Adult Animation "/>
    <n v="300"/>
    <n v="7.1"/>
  </r>
  <r>
    <n v="2018"/>
    <s v="Seven Seconds"/>
    <n v="7.7"/>
    <s v="5.2M Views"/>
    <s v="Veena Sud"/>
    <s v="Clare-Hope Ashitey"/>
    <d v="2018-02-23T00:00:00"/>
    <s v="10 Eps; 600 min"/>
    <x v="0"/>
    <s v="Crime Drama "/>
    <n v="600"/>
    <n v="5.2"/>
  </r>
  <r>
    <n v="2018"/>
    <s v="Dogs"/>
    <n v="8.6"/>
    <s v="4.8M Views"/>
    <s v="Glen Zipper"/>
    <s v="Documentary"/>
    <d v="2018-11-16T00:00:00"/>
    <s v="S1; 300 min"/>
    <x v="0"/>
    <s v="Documentary "/>
    <n v="300"/>
    <n v="4.8"/>
  </r>
  <r>
    <n v="2019"/>
    <s v="The Witcher"/>
    <n v="8"/>
    <s v="541M Hours (S1)"/>
    <s v="Lauren S. Hissrich"/>
    <s v="Henry Cavill, Anya Chalotra"/>
    <d v="2019-12-20T00:00:00"/>
    <s v="S1; 480 min"/>
    <x v="12"/>
    <s v="Fantasy Drama "/>
    <n v="480"/>
    <s v=""/>
  </r>
  <r>
    <n v="2019"/>
    <s v="Stranger Things 3"/>
    <n v="8.6999999999999993"/>
    <s v="582M Hours"/>
    <s v="The Duffer Brothers"/>
    <s v="Millie Bobby Brown"/>
    <d v="2019-07-04T00:00:00"/>
    <s v="S3; 440 min"/>
    <x v="0"/>
    <s v="Sci-Fi / Horror "/>
    <n v="440"/>
    <s v=""/>
  </r>
  <r>
    <n v="2019"/>
    <s v="The Umbrella Academy"/>
    <n v="7.9"/>
    <s v="45M Views"/>
    <s v="Steve Blackman"/>
    <s v="Elliot Page, Tom Hopper"/>
    <d v="2019-02-15T00:00:00"/>
    <s v="S1; 600 min"/>
    <x v="0"/>
    <s v="Superhero Action "/>
    <n v="600"/>
    <n v="45"/>
  </r>
  <r>
    <n v="2019"/>
    <s v="Sex Education"/>
    <n v="8.3000000000000007"/>
    <s v="40M Views (S1)"/>
    <s v="Laurie Nunn"/>
    <s v="Asa Butterfield, Gillian Anderson"/>
    <d v="2019-01-11T00:00:00"/>
    <s v="S1; 400 min"/>
    <x v="4"/>
    <s v="Coming-of-age "/>
    <n v="400"/>
    <n v="40"/>
  </r>
  <r>
    <n v="2019"/>
    <s v="When They See Us"/>
    <n v="8.9"/>
    <s v="25M Views"/>
    <s v="Ava DuVernay"/>
    <s v="Jharrel Jerome, Asante Blackk"/>
    <d v="2019-05-31T00:00:00"/>
    <s v="4 Eps; 296 min"/>
    <x v="0"/>
    <s v="Drama / Legal "/>
    <n v="296"/>
    <n v="25"/>
  </r>
  <r>
    <n v="2019"/>
    <s v="Dead to Me"/>
    <n v="7.9"/>
    <s v="30M Views (S1)"/>
    <s v="Liz Feldman"/>
    <s v="Christina Applegate, Linda Cardellini"/>
    <d v="2019-05-03T00:00:00"/>
    <s v="S1; 300 min"/>
    <x v="0"/>
    <s v="Black Comedy "/>
    <n v="300"/>
    <n v="30"/>
  </r>
  <r>
    <n v="2019"/>
    <s v="After Life"/>
    <n v="8.4"/>
    <s v="18M Views (S1)"/>
    <s v="Ricky Gervais"/>
    <s v="Ricky Gervais"/>
    <d v="2019-03-08T00:00:00"/>
    <s v="S1; 180 min"/>
    <x v="4"/>
    <s v="Black Comedy"/>
    <n v="180"/>
    <n v="18"/>
  </r>
  <r>
    <n v="2019"/>
    <s v="Kingdom"/>
    <n v="8.3000000000000007"/>
    <s v="12M Views (S1)"/>
    <s v="Kim Seong-hun"/>
    <s v="Ju Ji-hoon"/>
    <d v="2019-01-25T00:00:00"/>
    <s v="S1; 300 min"/>
    <x v="13"/>
    <s v="Period Zombie Horror"/>
    <n v="300"/>
    <n v="12"/>
  </r>
  <r>
    <n v="2019"/>
    <s v="Unbelievable"/>
    <n v="8.4"/>
    <s v="44M Views"/>
    <s v="Susannah Grant"/>
    <s v="Toni Collette, Merritt Wever"/>
    <d v="2019-09-13T00:00:00"/>
    <s v="8 Eps; 400 min"/>
    <x v="0"/>
    <s v="Crime Drama "/>
    <n v="400"/>
    <n v="44"/>
  </r>
  <r>
    <n v="2019"/>
    <s v="Russian Doll"/>
    <n v="7.7"/>
    <s v="12.5M Views"/>
    <s v="Natasha Lyonne"/>
    <s v="Natasha Lyonne"/>
    <d v="2019-02-01T00:00:00"/>
    <s v="S1; 200 min"/>
    <x v="0"/>
    <s v="Sci-Fi / Comedy "/>
    <n v="200"/>
    <n v="12.5"/>
  </r>
  <r>
    <n v="2019"/>
    <s v="Our Planet"/>
    <n v="9.3000000000000007"/>
    <s v="33M Views"/>
    <s v="Alastair Fothergill"/>
    <s v="David Attenborough"/>
    <d v="2019-04-05T00:00:00"/>
    <s v="8 Eps; 400 min"/>
    <x v="4"/>
    <s v="Nature Doc "/>
    <n v="400"/>
    <n v="33"/>
  </r>
  <r>
    <n v="2019"/>
    <s v="Love, Death &amp; Robots"/>
    <n v="8.4"/>
    <s v="15M Views"/>
    <s v="Tim Miller"/>
    <s v="Anthology"/>
    <d v="2019-03-15T00:00:00"/>
    <s v="V1; 200 min"/>
    <x v="0"/>
    <s v="Sci-Fi Anthology"/>
    <n v="200"/>
    <n v="15"/>
  </r>
  <r>
    <n v="2019"/>
    <s v="Peaky Blinders"/>
    <n v="8.8000000000000007"/>
    <s v="30M Views (S5)"/>
    <s v="Steven Knight"/>
    <s v="Cillian Murphy"/>
    <d v="2019-10-04T00:00:00"/>
    <s v="S5; 360 min"/>
    <x v="4"/>
    <s v="Period Crime "/>
    <n v="360"/>
    <n v="30"/>
  </r>
  <r>
    <n v="2019"/>
    <s v="Criminal: UK"/>
    <n v="7.6"/>
    <s v="7.4M Views"/>
    <s v="George Kay"/>
    <s v="David Tennant"/>
    <d v="2019-09-20T00:00:00"/>
    <s v="S1; 135 min"/>
    <x v="4"/>
    <s v="Police Procedural "/>
    <n v="135"/>
    <n v="7.4"/>
  </r>
  <r>
    <n v="2019"/>
    <s v="Master of None"/>
    <n v="8.1999999999999993"/>
    <s v="6.5M Views"/>
    <s v="Aziz Ansari"/>
    <s v="Aziz Ansari"/>
    <d v="2021-05-23T00:00:00"/>
    <s v="S3; 150 min"/>
    <x v="0"/>
    <s v="Comedy Drama "/>
    <n v="150"/>
    <n v="6.5"/>
  </r>
  <r>
    <n v="2019"/>
    <s v="13 Reasons Why"/>
    <n v="7.5"/>
    <s v="35M Views (S3)"/>
    <s v="Brian Yorkey"/>
    <s v="Dylan Minnette"/>
    <d v="2019-08-23T00:00:00"/>
    <s v="S3; 780 min"/>
    <x v="0"/>
    <s v="Teen Drama "/>
    <n v="780"/>
    <n v="35"/>
  </r>
  <r>
    <n v="2019"/>
    <s v="Queer Eye"/>
    <n v="8.5"/>
    <s v="10M Views (S3)"/>
    <s v="David Collins"/>
    <s v="Antoni Porowski"/>
    <d v="2019-03-15T00:00:00"/>
    <s v="S3; 360 min"/>
    <x v="0"/>
    <s v="Reality TV"/>
    <n v="360"/>
    <n v="10"/>
  </r>
  <r>
    <n v="2019"/>
    <s v="Altered Carbon"/>
    <n v="7.9"/>
    <s v="8.3M Views (S1)"/>
    <s v="Laeta Kalogridis"/>
    <s v="Joel Kinnaman"/>
    <d v="2018-02-02T00:00:00"/>
    <s v="S1; 600 min"/>
    <x v="0"/>
    <s v="Sci-Fi / Cyberpunk "/>
    <n v="600"/>
    <n v="8.3000000000000007"/>
  </r>
  <r>
    <n v="2019"/>
    <s v="Lost in Space"/>
    <n v="7.3"/>
    <s v="11.2M Views (S2)"/>
    <s v="Matt Sazama"/>
    <s v="Toby Stephens"/>
    <d v="2019-12-24T00:00:00"/>
    <s v="S2; 550 min"/>
    <x v="0"/>
    <s v="Sci-Fi Adventure "/>
    <n v="550"/>
    <n v="11.2"/>
  </r>
  <r>
    <n v="2019"/>
    <s v="Grace and Frankie"/>
    <n v="8.1999999999999993"/>
    <s v="9.5M Views (S5)"/>
    <s v="Marta Kauffman"/>
    <s v="Jane Fonda, Lily Tomlin"/>
    <d v="2019-01-18T00:00:00"/>
    <s v="S5; 390 min"/>
    <x v="0"/>
    <s v="Comedy "/>
    <n v="390"/>
    <n v="9.5"/>
  </r>
  <r>
    <n v="2020"/>
    <s v="Bridgerton"/>
    <n v="7.4"/>
    <s v="113.3M Views"/>
    <s v="Chris Van Dusen"/>
    <s v="Phoebe Dynevor, Regé-Jean Page"/>
    <d v="2020-12-25T00:00:00"/>
    <s v="S1; 492 min"/>
    <x v="0"/>
    <s v="Period Romance "/>
    <n v="492"/>
    <n v="113.3"/>
  </r>
  <r>
    <n v="2020"/>
    <s v="The Queen's Gambit"/>
    <n v="8.6"/>
    <s v="112.8M Views"/>
    <s v="Scott Frank"/>
    <s v="Anya Taylor-Joy"/>
    <d v="2020-10-23T00:00:00"/>
    <s v="7 Eps; 393 min"/>
    <x v="0"/>
    <s v="Period Drama "/>
    <n v="393"/>
    <n v="112.8"/>
  </r>
  <r>
    <n v="2020"/>
    <s v="Tiger King"/>
    <n v="7.5"/>
    <s v="64M Views"/>
    <s v="Eric Goode"/>
    <s v="Joe Exotic"/>
    <d v="2020-03-20T00:00:00"/>
    <s v="S1; 330 min"/>
    <x v="0"/>
    <s v="True Crime Doc "/>
    <n v="330"/>
    <n v="64"/>
  </r>
  <r>
    <n v="2020"/>
    <s v="Money Heist"/>
    <n v="8.1999999999999993"/>
    <s v="619M Hours (P4)"/>
    <s v="Álex Pina"/>
    <s v="Álvaro Morte"/>
    <d v="2020-04-03T00:00:00"/>
    <s v="P4; 400 min"/>
    <x v="5"/>
    <s v="Heist / Crime "/>
    <n v="400"/>
    <s v=""/>
  </r>
  <r>
    <n v="2020"/>
    <s v="Emily in Paris"/>
    <n v="6.9"/>
    <s v="58M Views"/>
    <s v="Darren Star"/>
    <s v="Lily Collins"/>
    <d v="2020-10-02T00:00:00"/>
    <s v="S1; 300 min"/>
    <x v="14"/>
    <s v="Rom-Com "/>
    <n v="300"/>
    <n v="58"/>
  </r>
  <r>
    <n v="2020"/>
    <s v="Outer Banks"/>
    <n v="7.5"/>
    <s v="45M Views"/>
    <s v="Josh Pate"/>
    <s v="Chase Stokes, Madelyn Cline"/>
    <d v="2020-04-15T00:00:00"/>
    <s v="S1; 500 min"/>
    <x v="0"/>
    <s v="Teen Adventure "/>
    <n v="500"/>
    <n v="45"/>
  </r>
  <r>
    <n v="2020"/>
    <s v="Love Is Blind"/>
    <n v="6.2"/>
    <s v="18.8M Points"/>
    <s v="Chris Coelen"/>
    <s v="Nick Lachey"/>
    <d v="2020-02-13T00:00:00"/>
    <s v="S1; 600 min"/>
    <x v="0"/>
    <s v="Dating Reality "/>
    <n v="600"/>
    <s v=""/>
  </r>
  <r>
    <n v="2020"/>
    <s v="Never Have I Ever"/>
    <n v="7.8"/>
    <s v="40M Views"/>
    <s v="Mindy Kaling"/>
    <s v="Maitreyi Ramakrishnan"/>
    <d v="2020-04-27T00:00:00"/>
    <s v="S1; 300 min"/>
    <x v="0"/>
    <s v="Coming-of-age "/>
    <n v="300"/>
    <n v="40"/>
  </r>
  <r>
    <n v="2020"/>
    <s v="Ratched"/>
    <n v="7.3"/>
    <s v="48M Views"/>
    <s v="Ryan Murphy"/>
    <s v="Sarah Paulson"/>
    <d v="2020-09-18T00:00:00"/>
    <s v="S1; 480 min"/>
    <x v="0"/>
    <s v="Psych Thriller "/>
    <n v="480"/>
    <n v="48"/>
  </r>
  <r>
    <n v="2020"/>
    <s v="Alice in Borderland"/>
    <n v="7.7"/>
    <s v="46.6M Views"/>
    <s v="Shinsuke Sato"/>
    <s v="Kento Yamazaki"/>
    <d v="2020-12-10T00:00:00"/>
    <s v="S1; 400 min"/>
    <x v="15"/>
    <s v="Survival Thriller "/>
    <n v="400"/>
    <n v="46.6"/>
  </r>
  <r>
    <n v="2020"/>
    <s v="The Umbrella Academy"/>
    <n v="7.9"/>
    <s v="43M Views (S2)"/>
    <s v="Steve Blackman"/>
    <s v="Elliot Page"/>
    <d v="2020-07-31T00:00:00"/>
    <s v="S2; 500 min"/>
    <x v="0"/>
    <s v="Superhero Action "/>
    <n v="500"/>
    <n v="43"/>
  </r>
  <r>
    <n v="2020"/>
    <s v="Locke &amp; Key"/>
    <n v="7.3"/>
    <s v="5.9M Points"/>
    <s v="Carlton Cuse"/>
    <s v="Darby Stanchfield"/>
    <d v="2020-02-07T00:00:00"/>
    <s v="S1; 500 min"/>
    <x v="0"/>
    <s v="Fantasy / Horror "/>
    <n v="500"/>
    <s v=""/>
  </r>
  <r>
    <n v="2020"/>
    <s v="Space Force"/>
    <n v="6.7"/>
    <s v="40M Views"/>
    <s v="Greg Daniels"/>
    <s v="Steve Carell"/>
    <d v="2020-05-29T00:00:00"/>
    <s v="S1; 300 min"/>
    <x v="0"/>
    <s v="Workplace Comedy "/>
    <n v="300"/>
    <n v="40"/>
  </r>
  <r>
    <n v="2020"/>
    <s v="Cocomelon"/>
    <n v="4.3"/>
    <s v="61.4M Points"/>
    <s v="Jay Jeon"/>
    <s v="Animation"/>
    <d v="2020-06-01T00:00:00"/>
    <s v="S1; 180 min"/>
    <x v="0"/>
    <s v="Kids / Animation "/>
    <n v="180"/>
    <s v=""/>
  </r>
  <r>
    <n v="2020"/>
    <s v="The Crown"/>
    <n v="8.6"/>
    <s v="16.2B Minutes"/>
    <s v="Peter Morgan"/>
    <s v="Olivia Colman, Gillian Anderson"/>
    <d v="2020-11-15T00:00:00"/>
    <s v="S4; 550 min"/>
    <x v="4"/>
    <s v="Biography / History "/>
    <n v="550"/>
    <s v=""/>
  </r>
  <r>
    <n v="2020"/>
    <s v="Ozark"/>
    <n v="8.5"/>
    <s v="18B Minutes (S3)"/>
    <s v="Bill Dubuque"/>
    <s v="Jason Bateman, Laura Linney"/>
    <d v="2020-03-27T00:00:00"/>
    <s v="S3; 600 min"/>
    <x v="0"/>
    <s v="Crime Drama "/>
    <n v="600"/>
    <s v=""/>
  </r>
  <r>
    <n v="2020"/>
    <s v="Sex Education"/>
    <n v="8.3000000000000007"/>
    <s v="35M Views (S2)"/>
    <s v="Laurie Nunn"/>
    <s v="Asa Butterfield"/>
    <d v="2020-01-17T00:00:00"/>
    <s v="S2; 400 min"/>
    <x v="4"/>
    <s v="Coming-of-age "/>
    <n v="400"/>
    <n v="35"/>
  </r>
  <r>
    <n v="2020"/>
    <s v="Sweet Magnolias"/>
    <n v="7.3"/>
    <s v="6.0M Points"/>
    <s v="Sheryl J. Anderson"/>
    <s v="JoAnna Garcia Swisher"/>
    <d v="2020-05-19T00:00:00"/>
    <s v="S1; 500 min"/>
    <x v="0"/>
    <s v="Romance / Drama "/>
    <n v="500"/>
    <s v=""/>
  </r>
  <r>
    <n v="2020"/>
    <s v="Unorthodox"/>
    <n v="8"/>
    <s v="52M Views"/>
    <s v="Anna Winger"/>
    <s v="Shira Haas"/>
    <d v="2020-03-26T00:00:00"/>
    <s v="4 Eps; 213 min"/>
    <x v="16"/>
    <s v="Drama "/>
    <n v="213"/>
    <n v="52"/>
  </r>
  <r>
    <n v="2020"/>
    <s v="Schitt's Creek"/>
    <n v="8.5"/>
    <s v="15B Minutes (S6)"/>
    <s v="Dan Levy"/>
    <s v="Eugene Levy, Catherine O'Hara"/>
    <d v="2020-05-14T00:00:00"/>
    <s v="S6; 320 min"/>
    <x v="6"/>
    <s v="Sitcom "/>
    <n v="320"/>
    <s v=""/>
  </r>
  <r>
    <n v="2021"/>
    <s v="Squid Game"/>
    <n v="8"/>
    <s v="265.2M Views"/>
    <s v="Hwang Dong-hyuk"/>
    <s v="Lee Jung-jae, Jung Ho-yeon"/>
    <d v="2021-09-17T00:00:00"/>
    <s v="S1; 485 min"/>
    <x v="13"/>
    <s v="Survival Drama "/>
    <n v="485"/>
    <n v="265.2"/>
  </r>
  <r>
    <n v="2021"/>
    <s v="Lupin"/>
    <n v="7.5"/>
    <s v="76M Views (P1)"/>
    <s v="George Kay"/>
    <s v="Omar Sy"/>
    <d v="2021-01-08T00:00:00"/>
    <s v="P1; 225 min"/>
    <x v="17"/>
    <s v="Mystery Thriller"/>
    <n v="225"/>
    <n v="76"/>
  </r>
  <r>
    <n v="2021"/>
    <s v="Maid"/>
    <n v="8.3000000000000007"/>
    <s v="67M Views"/>
    <s v="Molly Smith Metzler"/>
    <s v="Margaret Qualley"/>
    <d v="2021-10-01T00:00:00"/>
    <s v="10 Eps; 544 min"/>
    <x v="0"/>
    <s v="Drama "/>
    <n v="544"/>
    <n v="67"/>
  </r>
  <r>
    <n v="2021"/>
    <s v="Sex/Life"/>
    <n v="5.5"/>
    <s v="67M Views"/>
    <s v="Stacy Rukeyser"/>
    <s v="Sarah Shahi, Mike Vogel"/>
    <d v="2021-06-25T00:00:00"/>
    <s v="S1; 400 min"/>
    <x v="0"/>
    <s v="Drama / Romance "/>
    <n v="400"/>
    <n v="67"/>
  </r>
  <r>
    <n v="2021"/>
    <s v="Money Heist"/>
    <n v="8.1999999999999993"/>
    <s v="792M Hours (P5)"/>
    <s v="Álex Pina"/>
    <s v="Álvaro Morte"/>
    <d v="2021-09-03T00:00:00"/>
    <s v="P5; 450 min"/>
    <x v="5"/>
    <s v="Heist / Crime "/>
    <n v="450"/>
    <s v=""/>
  </r>
  <r>
    <n v="2021"/>
    <s v="Sweet Tooth"/>
    <n v="7.7"/>
    <s v="60M Views"/>
    <s v="Jim Mickle"/>
    <s v="Christian Convery"/>
    <d v="2021-06-04T00:00:00"/>
    <s v="S1; 400 min"/>
    <x v="0"/>
    <s v="Fantasy Drama "/>
    <n v="400"/>
    <n v="60"/>
  </r>
  <r>
    <n v="2021"/>
    <s v="Ginny &amp; Georgia"/>
    <n v="7.5"/>
    <s v="118.2M Views (S1)"/>
    <s v="Sarah Lampert"/>
    <s v="Brianne Howey"/>
    <d v="2021-02-24T00:00:00"/>
    <s v="S1; 587 min"/>
    <x v="0"/>
    <s v="Coming-of-age"/>
    <n v="587"/>
    <n v="118.2"/>
  </r>
  <r>
    <n v="2021"/>
    <s v="Fate: The Winx Saga"/>
    <n v="6.8"/>
    <s v="57M Views"/>
    <s v="Brian Young"/>
    <s v="Abigail Cowen"/>
    <d v="2021-01-22T00:00:00"/>
    <s v="S1; 300 min"/>
    <x v="18"/>
    <s v="Teen Fantasy "/>
    <n v="300"/>
    <n v="57"/>
  </r>
  <r>
    <n v="2021"/>
    <s v="Shadow and Bone"/>
    <n v="7.5"/>
    <s v="55M Views"/>
    <s v="Eric Heisserer"/>
    <s v="Jessie Mei Li, Ben Barnes"/>
    <d v="2021-04-23T00:00:00"/>
    <s v="S1; 400 min"/>
    <x v="0"/>
    <s v="Fantasy Drama "/>
    <n v="400"/>
    <n v="55"/>
  </r>
  <r>
    <n v="2021"/>
    <s v="Sex Education"/>
    <n v="8.3000000000000007"/>
    <s v="55M Views (S3)"/>
    <s v="Laurie Nunn"/>
    <s v="Asa Butterfield"/>
    <d v="2021-09-17T00:00:00"/>
    <s v="S3; 450 min"/>
    <x v="4"/>
    <s v="Coming-of-age "/>
    <n v="450"/>
    <n v="55"/>
  </r>
  <r>
    <n v="2021"/>
    <s v="Arcane"/>
    <n v="9"/>
    <s v="120M Hours"/>
    <s v="Christian Linke"/>
    <s v="Hailee Steinfeld"/>
    <d v="2021-11-06T00:00:00"/>
    <s v="S1; 360 min"/>
    <x v="14"/>
    <s v="Animation / Action "/>
    <n v="360"/>
    <s v=""/>
  </r>
  <r>
    <n v="2021"/>
    <s v="Clickbait"/>
    <n v="7.2"/>
    <s v="52M Views"/>
    <s v="Tony Ayres"/>
    <s v="Adrian Grenier"/>
    <d v="2021-08-25T00:00:00"/>
    <s v="8 Eps; 353 min"/>
    <x v="19"/>
    <s v="Mystery Thriller"/>
    <n v="353"/>
    <n v="52"/>
  </r>
  <r>
    <n v="2021"/>
    <s v="Midnight Mass"/>
    <n v="7.7"/>
    <s v="12.1M Views"/>
    <s v="Mike Flanagan"/>
    <s v="Zach Gilford, Hamish Linklater"/>
    <d v="2021-09-24T00:00:00"/>
    <s v="7 Eps; 440 min"/>
    <x v="0"/>
    <s v="Supernatural Horror"/>
    <n v="440"/>
    <n v="12.1"/>
  </r>
  <r>
    <n v="2021"/>
    <s v="Hellbound"/>
    <n v="6.6"/>
    <s v="142M Hours"/>
    <s v="Yeon Sang-ho"/>
    <s v="Yoo Ah-in"/>
    <d v="2021-11-19T00:00:00"/>
    <s v="S1; 300 min"/>
    <x v="13"/>
    <s v="Supernatural Thriller"/>
    <n v="300"/>
    <s v=""/>
  </r>
  <r>
    <n v="2021"/>
    <s v="My Name"/>
    <n v="7.8"/>
    <s v="3.1M Points"/>
    <s v="Kim Jin-min"/>
    <s v="Han So-hee"/>
    <d v="2021-10-15T00:00:00"/>
    <s v="1 Season; 400 min"/>
    <x v="13"/>
    <s v="Crime Thriller"/>
    <n v="400"/>
    <s v=""/>
  </r>
  <r>
    <n v="2021"/>
    <s v="D.P."/>
    <n v="8.1999999999999993"/>
    <s v="3.2M Points"/>
    <s v="Han Jun-hee"/>
    <s v="Jung Hae-in"/>
    <d v="2021-08-27T00:00:00"/>
    <s v="S1; 300 min"/>
    <x v="13"/>
    <s v="Military Drama"/>
    <n v="300"/>
    <s v=""/>
  </r>
  <r>
    <n v="2021"/>
    <s v="The Serpent"/>
    <n v="7.6"/>
    <s v="31M Views"/>
    <s v="Richard Warlow"/>
    <s v="Tahar Rahim, Jenna Coleman"/>
    <d v="2021-01-01T00:00:00"/>
    <s v="8 Eps; 464 min"/>
    <x v="4"/>
    <s v="True Crime Drama "/>
    <n v="464"/>
    <n v="31"/>
  </r>
  <r>
    <n v="2021"/>
    <s v="Behind Her Eyes"/>
    <n v="7.2"/>
    <s v="38M Views"/>
    <s v="Steve Lightfoot"/>
    <s v="Simona Brown, Eve Hewson"/>
    <d v="2021-02-17T00:00:00"/>
    <s v="6 Eps; 300 min"/>
    <x v="4"/>
    <s v="Psych Thriller "/>
    <n v="300"/>
    <n v="38"/>
  </r>
  <r>
    <n v="2021"/>
    <s v="Cowboy Bebop"/>
    <n v="6.7"/>
    <s v="25M Views"/>
    <s v="Christopher Yost"/>
    <s v="John Cho"/>
    <d v="2021-11-19T00:00:00"/>
    <s v="S1; 500 min"/>
    <x v="0"/>
    <s v="Sci-Fi / Western "/>
    <n v="500"/>
    <n v="25"/>
  </r>
  <r>
    <n v="2021"/>
    <s v="Archive 81"/>
    <n v="7.3"/>
    <s v="7,967 Points"/>
    <s v="Rebecca Sonnenshine"/>
    <s v="Mamoudou Athie"/>
    <d v="2022-01-14T00:00:00"/>
    <s v="S1; 400 min"/>
    <x v="0"/>
    <s v="Horror / Mystery "/>
    <n v="400"/>
    <s v=""/>
  </r>
  <r>
    <n v="2022"/>
    <s v="Wednesday"/>
    <n v="8.1"/>
    <s v="252.1M Views"/>
    <s v="Tim Burton"/>
    <s v="Jenna Ortega"/>
    <d v="2022-11-23T00:00:00"/>
    <s v="S1; 409 min"/>
    <x v="0"/>
    <s v="Supernatural Mystery "/>
    <n v="409"/>
    <n v="252.1"/>
  </r>
  <r>
    <n v="2022"/>
    <s v="Stranger Things 4"/>
    <n v="8.6999999999999993"/>
    <s v="140.7M Views"/>
    <s v="The Duffer Brothers"/>
    <s v="Millie Bobby Brown"/>
    <d v="2022-05-27T00:00:00"/>
    <s v="9 Eps; 784 min"/>
    <x v="0"/>
    <s v="Sci-Fi / Horror "/>
    <n v="784"/>
    <n v="140.69999999999999"/>
  </r>
  <r>
    <n v="2022"/>
    <s v="DAHMER"/>
    <n v="7.9"/>
    <s v="115.6M Views"/>
    <s v="Ryan Murphy"/>
    <s v="Evan Peters"/>
    <d v="2022-09-21T00:00:00"/>
    <s v="10 Eps; 535 min"/>
    <x v="0"/>
    <s v="True Crime / Drama "/>
    <n v="535"/>
    <n v="115.6"/>
  </r>
  <r>
    <n v="2022"/>
    <s v="All of Us Are Dead"/>
    <n v="7.5"/>
    <s v="679M Hours"/>
    <s v="Lee JQ"/>
    <s v="Park Ji-hu"/>
    <d v="2022-01-28T00:00:00"/>
    <s v="S1; 709 min"/>
    <x v="13"/>
    <s v="Zombie Horror "/>
    <n v="709"/>
    <s v=""/>
  </r>
  <r>
    <n v="2022"/>
    <s v="Inventing Anna"/>
    <n v="6.8"/>
    <s v="511M Hours"/>
    <s v="Shonda Rhimes"/>
    <s v="Julia Garner"/>
    <d v="2022-02-11T00:00:00"/>
    <s v="9 Eps; 602 min"/>
    <x v="0"/>
    <s v="True Crime Drama "/>
    <n v="602"/>
    <s v=""/>
  </r>
  <r>
    <n v="2022"/>
    <s v="Ozark"/>
    <n v="8.5"/>
    <s v="491M Hours (S4)"/>
    <s v="Bill Dubuque"/>
    <s v="Jason Bateman"/>
    <d v="2022-01-21T00:00:00"/>
    <s v="S4; 600 min"/>
    <x v="0"/>
    <s v="Crime Drama "/>
    <n v="600"/>
    <s v=""/>
  </r>
  <r>
    <n v="2022"/>
    <s v="Bridgerton 2"/>
    <n v="7.4"/>
    <s v="656M Hours"/>
    <s v="Shonda Rhimes"/>
    <s v="Jonathan Bailey, Simone Ashley"/>
    <d v="2022-03-25T00:00:00"/>
    <s v="8 Eps; 510 min"/>
    <x v="0"/>
    <s v="Period Romance "/>
    <n v="510"/>
    <s v=""/>
  </r>
  <r>
    <n v="2022"/>
    <s v="The Sandman"/>
    <n v="7.7"/>
    <s v="396M Hours"/>
    <s v="Neil Gaiman"/>
    <s v="Tom Sturridge"/>
    <d v="2022-08-05T00:00:00"/>
    <s v="S1; 574 min"/>
    <x v="20"/>
    <s v="Fantasy Drama "/>
    <n v="574"/>
    <s v=""/>
  </r>
  <r>
    <n v="2022"/>
    <s v="Extraordinary Attorney Woo"/>
    <n v="8.6"/>
    <s v="402M Hours"/>
    <s v="Yoo In-shik"/>
    <s v="Park Eun-bin"/>
    <d v="2022-06-29T00:00:00"/>
    <s v="S1; 1120 min"/>
    <x v="13"/>
    <s v="Legal Drama "/>
    <n v="1120"/>
    <s v=""/>
  </r>
  <r>
    <n v="2022"/>
    <s v="Manifest"/>
    <n v="7.1"/>
    <s v="53,337 Points"/>
    <s v="Jeff Rake"/>
    <s v="Melissa Roxburgh"/>
    <d v="2022-11-04T00:00:00"/>
    <s v="S4; 500 min"/>
    <x v="0"/>
    <s v="Supernatural Mystery "/>
    <n v="500"/>
    <s v=""/>
  </r>
  <r>
    <n v="2022"/>
    <s v="The Watcher"/>
    <n v="6.5"/>
    <s v="79.6M Views"/>
    <s v="Ryan Murphy"/>
    <s v="Naomi Watts"/>
    <d v="2022-10-13T00:00:00"/>
    <s v="S1; 342 min"/>
    <x v="0"/>
    <s v="Mystery / Thriller "/>
    <n v="342"/>
    <n v="79.599999999999994"/>
  </r>
  <r>
    <n v="2022"/>
    <s v="Heartstopper"/>
    <n v="8.6"/>
    <s v="5M Views"/>
    <s v="Alice Oseman"/>
    <s v="Kit Connor, Joe Locke"/>
    <d v="2022-04-22T00:00:00"/>
    <s v="S1; 240 min"/>
    <x v="4"/>
    <s v="Teen Romance"/>
    <n v="240"/>
    <n v="5"/>
  </r>
  <r>
    <n v="2022"/>
    <n v="1899"/>
    <n v="7.3"/>
    <s v="245M Hours"/>
    <s v="Baran bo Odar"/>
    <s v="Emily Beecham"/>
    <d v="2022-11-17T00:00:00"/>
    <s v="S1; 400 min"/>
    <x v="16"/>
    <s v="Sci-Fi / Mystery "/>
    <n v="400"/>
    <s v=""/>
  </r>
  <r>
    <n v="2022"/>
    <s v="Cabinet of Curiosities"/>
    <n v="7"/>
    <s v="6,322 Points"/>
    <s v="G. del Toro"/>
    <s v="Anthology"/>
    <d v="2022-10-25T00:00:00"/>
    <s v="1 Season; 400 min"/>
    <x v="0"/>
    <s v="Horror Anthology "/>
    <n v="400"/>
    <s v=""/>
  </r>
  <r>
    <n v="2022"/>
    <s v="The Empress"/>
    <n v="7.8"/>
    <s v="10,181 Points"/>
    <s v="Katharina Eyssen"/>
    <s v="Devrim Lingnau"/>
    <d v="2022-09-29T00:00:00"/>
    <s v="S1; 360 min"/>
    <x v="16"/>
    <s v="Period Drama "/>
    <n v="360"/>
    <s v=""/>
  </r>
  <r>
    <n v="2022"/>
    <s v="Shuroop (Queen's Umbrella)"/>
    <n v="8.5"/>
    <s v="6,226 Points"/>
    <s v="Kim Hyung-sik"/>
    <s v="Kim Hye-soo"/>
    <d v="2022-10-15T00:00:00"/>
    <s v="1 Season; 960 min"/>
    <x v="13"/>
    <s v="Historical Drama "/>
    <n v="960"/>
    <s v=""/>
  </r>
  <r>
    <n v="2022"/>
    <s v="Little Women"/>
    <n v="8.1"/>
    <s v="9,596 Points"/>
    <s v="Kim Hee-won"/>
    <s v="Kim Go-eun"/>
    <d v="2022-09-03T00:00:00"/>
    <s v="1 Season; 720 min"/>
    <x v="13"/>
    <s v="Mystery / Drama "/>
    <n v="720"/>
    <s v=""/>
  </r>
  <r>
    <n v="2022"/>
    <s v="Alchemy of Souls"/>
    <n v="8.6999999999999993"/>
    <s v="12.4M Points"/>
    <s v="Park Joon-hwa"/>
    <s v="Lee Jae-wook"/>
    <d v="2022-06-18T00:00:00"/>
    <s v="2 Parts; 1800 min"/>
    <x v="13"/>
    <s v="Fantasy Romance "/>
    <n v="1800"/>
    <s v=""/>
  </r>
  <r>
    <n v="2022"/>
    <s v="The Recruit"/>
    <n v="7.5"/>
    <s v="7,823 Points"/>
    <s v="Alexi Hawley"/>
    <s v="Noah Centineo"/>
    <d v="2022-12-16T00:00:00"/>
    <s v="S1; 400 min"/>
    <x v="0"/>
    <s v="Spy Adventure "/>
    <n v="400"/>
    <s v=""/>
  </r>
  <r>
    <n v="2022"/>
    <s v="Devil in Ohio"/>
    <n v="5.9"/>
    <s v="7,847 Points"/>
    <s v="Daria Polatin"/>
    <s v="Emily Deschanel"/>
    <d v="2022-09-02T00:00:00"/>
    <s v="8 Eps; 360 min"/>
    <x v="0"/>
    <s v="Horror / Mystery "/>
    <n v="360"/>
    <s v=""/>
  </r>
  <r>
    <n v="2023"/>
    <s v="The Night Agent"/>
    <n v="7.5"/>
    <s v="99.2M Views"/>
    <s v="Shawn Ryan"/>
    <s v="Gabriel Basso"/>
    <d v="2023-03-23T00:00:00"/>
    <s v="S1; 491 min"/>
    <x v="0"/>
    <s v="Action Thriller "/>
    <n v="491"/>
    <n v="99.2"/>
  </r>
  <r>
    <n v="2023"/>
    <s v="One Piece"/>
    <n v="8.3000000000000007"/>
    <s v="71.6M Views"/>
    <s v="Matt Owens"/>
    <s v="Iñaki Godoy"/>
    <d v="2023-08-31T00:00:00"/>
    <s v="S1; 451 min"/>
    <x v="9"/>
    <s v="Action Adventure"/>
    <n v="451"/>
    <n v="71.599999999999994"/>
  </r>
  <r>
    <n v="2023"/>
    <s v="Queen Charlotte"/>
    <n v="7.4"/>
    <s v="77.6M Views"/>
    <s v="Shonda Rhimes"/>
    <s v="India Amarteifio"/>
    <d v="2023-05-04T00:00:00"/>
    <s v="6 Eps; 389 min"/>
    <x v="0"/>
    <s v="Period Drama / Rom "/>
    <n v="389"/>
    <n v="77.599999999999994"/>
  </r>
  <r>
    <n v="2023"/>
    <s v="The Glory"/>
    <n v="8.1"/>
    <s v="43.7M Views"/>
    <s v="Kim Eun-sook"/>
    <s v="Song Hye-kyo"/>
    <d v="2022-12-30T00:00:00"/>
    <s v="P1/2; 856 min"/>
    <x v="13"/>
    <s v="Revenge Thriller "/>
    <n v="856"/>
    <n v="43.7"/>
  </r>
  <r>
    <n v="2023"/>
    <s v="The Diplomat"/>
    <n v="8"/>
    <s v="52.1M Views"/>
    <s v="Deborah Cahn"/>
    <s v="Keri Russell"/>
    <d v="2023-04-20T00:00:00"/>
    <s v="S1; 400 min"/>
    <x v="0"/>
    <s v="Political Drama "/>
    <n v="400"/>
    <n v="52.1"/>
  </r>
  <r>
    <n v="2023"/>
    <s v="Ginny &amp; Georgia 2"/>
    <n v="7.5"/>
    <s v="68M Views"/>
    <s v="Sarah Lampert"/>
    <s v="Brianne Howey"/>
    <d v="2023-01-05T00:00:00"/>
    <s v="S2; 587 min"/>
    <x v="0"/>
    <s v="Coming-of-age"/>
    <n v="587"/>
    <n v="68"/>
  </r>
  <r>
    <n v="2023"/>
    <s v="You 4"/>
    <n v="7.7"/>
    <s v="53.2M Views"/>
    <s v="Sera Gamble"/>
    <s v="Penn Badgley"/>
    <d v="2023-02-09T00:00:00"/>
    <s v="S4; 497 min"/>
    <x v="0"/>
    <s v="Psych Thriller"/>
    <n v="497"/>
    <n v="53.2"/>
  </r>
  <r>
    <n v="2023"/>
    <s v="Outer Banks 3"/>
    <n v="7.5"/>
    <s v="45.3M Views"/>
    <s v="Josh Pate"/>
    <s v="Chase Stokes"/>
    <d v="2023-02-23T00:00:00"/>
    <s v="S3; 533 min"/>
    <x v="0"/>
    <s v="Teen Adventure "/>
    <n v="533"/>
    <n v="45.3"/>
  </r>
  <r>
    <n v="2023"/>
    <s v="Beckham"/>
    <n v="8.1"/>
    <s v="43.9M Views"/>
    <s v="Fisher Stevens"/>
    <s v="David Beckham"/>
    <d v="2023-10-04T00:00:00"/>
    <s v="4 Eps; 288 min"/>
    <x v="4"/>
    <s v="Sports Doc"/>
    <n v="288"/>
    <n v="43.9"/>
  </r>
  <r>
    <n v="2023"/>
    <s v="Dear Child"/>
    <n v="7.3"/>
    <s v="50.9M Views"/>
    <s v="Isabel Kleefeld"/>
    <s v="Kim Riedle"/>
    <d v="2023-09-07T00:00:00"/>
    <s v="6 Eps; 288 min"/>
    <x v="16"/>
    <s v="Crime / Thriller"/>
    <n v="288"/>
    <n v="50.9"/>
  </r>
  <r>
    <n v="2023"/>
    <s v="Berlin"/>
    <n v="7"/>
    <s v="56.7M Views"/>
    <s v="Álex Pina"/>
    <s v="Pedro Alonso"/>
    <d v="2023-12-29T00:00:00"/>
    <s v="S1; 424 min"/>
    <x v="5"/>
    <s v="Heist / Crime"/>
    <n v="424"/>
    <n v="56.7"/>
  </r>
  <r>
    <n v="2023"/>
    <s v="Bodies"/>
    <n v="7.3"/>
    <s v="15.3M Views"/>
    <s v="Paul Tomalin"/>
    <s v="Stephen Graham"/>
    <d v="2023-10-19T00:00:00"/>
    <s v="8 Eps; 480 min"/>
    <x v="4"/>
    <s v="Sci-Fi / Crime"/>
    <n v="480"/>
    <n v="15.3"/>
  </r>
  <r>
    <n v="2023"/>
    <s v="Blue Eye Samurai"/>
    <n v="8.6999999999999993"/>
    <s v="15M Views"/>
    <s v="Michael Green"/>
    <s v="Maya Erskine"/>
    <d v="2023-11-03T00:00:00"/>
    <s v="S1; 360 min"/>
    <x v="0"/>
    <s v="Animation / Action "/>
    <n v="360"/>
    <n v="15"/>
  </r>
  <r>
    <n v="2023"/>
    <s v="Beef"/>
    <n v="8"/>
    <s v="15.5M Views"/>
    <s v="Lee Sung Jin"/>
    <s v="Steven Yeun, Ali Wong"/>
    <d v="2023-04-06T00:00:00"/>
    <s v="S1; 346 min"/>
    <x v="0"/>
    <s v="Dark Comedy / Drama"/>
    <n v="346"/>
    <n v="15.5"/>
  </r>
  <r>
    <n v="2023"/>
    <s v="Love Is Blind 4"/>
    <n v="6.2"/>
    <s v="21M Views"/>
    <s v="Chris Coelen"/>
    <s v="Reality"/>
    <d v="2023-03-24T00:00:00"/>
    <s v="S4; 600 min"/>
    <x v="0"/>
    <s v="Dating Reality "/>
    <n v="600"/>
    <n v="21"/>
  </r>
  <r>
    <n v="2023"/>
    <s v="Black Mirror 6"/>
    <n v="8.6999999999999993"/>
    <s v="31M Views"/>
    <s v="Charlie Brooker"/>
    <s v="Aaron Paul"/>
    <d v="2023-06-15T00:00:00"/>
    <s v="5 Eps; 300 min"/>
    <x v="4"/>
    <s v="Sci-Fi Anthology"/>
    <n v="300"/>
    <n v="31"/>
  </r>
  <r>
    <n v="2023"/>
    <s v="Fake Profile"/>
    <n v="5.6"/>
    <s v="20M Views"/>
    <s v="Pablo Illanes"/>
    <s v="Carolina Miranda"/>
    <d v="2023-05-31T00:00:00"/>
    <s v="S1; 450 min"/>
    <x v="21"/>
    <s v="Mystery / Drama"/>
    <n v="450"/>
    <n v="20"/>
  </r>
  <r>
    <n v="2023"/>
    <s v="My Demon"/>
    <n v="7.7"/>
    <s v="17.7M Views"/>
    <s v="Choi Ah-il"/>
    <s v="Kim Yoo-jung"/>
    <d v="2023-11-24T00:00:00"/>
    <s v="S1; 1055 min"/>
    <x v="13"/>
    <s v="Fantasy Romance"/>
    <n v="1055"/>
    <n v="17.7"/>
  </r>
  <r>
    <n v="2023"/>
    <s v="Arnold"/>
    <n v="8.1"/>
    <s v="12.1M Views"/>
    <s v="Lesley Chilcott"/>
    <s v="A. Schwarzenegger"/>
    <d v="2023-06-07T00:00:00"/>
    <s v="3 Eps; 180 min"/>
    <x v="0"/>
    <s v="Documentary "/>
    <n v="180"/>
    <n v="12.1"/>
  </r>
  <r>
    <n v="2023"/>
    <s v="Cunk on Earth"/>
    <n v="8.1"/>
    <s v="11.2M Views"/>
    <s v="Charlie Brooker"/>
    <s v="Diane Morgan"/>
    <d v="2023-01-31T00:00:00"/>
    <s v="5 Eps; 150 min"/>
    <x v="4"/>
    <s v="Mockumentary"/>
    <n v="150"/>
    <n v="11.2"/>
  </r>
  <r>
    <n v="2024"/>
    <s v="Fool Me Once"/>
    <n v="6.8"/>
    <s v="107.5M Views"/>
    <s v="Danny Brocklehurst"/>
    <s v="Michelle Keegan"/>
    <d v="2024-01-01T00:00:00"/>
    <s v="8 Eps; 385 min"/>
    <x v="4"/>
    <s v="Crime / Mystery"/>
    <n v="385"/>
    <n v="107.5"/>
  </r>
  <r>
    <n v="2024"/>
    <s v="Baby Reindeer"/>
    <n v="7.8"/>
    <s v="87.6M Views"/>
    <s v="Richard Gadd"/>
    <s v="Richard Gadd"/>
    <d v="2024-04-11T00:00:00"/>
    <s v="7 Eps; 238 min"/>
    <x v="4"/>
    <s v="Dark Comedy / Drama"/>
    <n v="238"/>
    <n v="87.6"/>
  </r>
  <r>
    <n v="2024"/>
    <s v="Squid Game 2"/>
    <n v="8"/>
    <s v="192.6M Views"/>
    <s v="Hwang Dong-hyuk"/>
    <s v="Lee Jung-jae"/>
    <d v="2024-12-26T00:00:00"/>
    <s v="S2; 430 min"/>
    <x v="13"/>
    <s v="Survival Drama "/>
    <n v="430"/>
    <n v="192.6"/>
  </r>
  <r>
    <n v="2024"/>
    <s v="Bridgerton 3"/>
    <n v="7.4"/>
    <s v="106M Views"/>
    <s v="Jess Brownell"/>
    <s v="Nicola Coughlan"/>
    <d v="2024-05-16T00:00:00"/>
    <s v="S3; 479 min"/>
    <x v="0"/>
    <s v="Period Romance "/>
    <n v="479"/>
    <n v="106"/>
  </r>
  <r>
    <n v="2024"/>
    <s v="The Gentlemen"/>
    <n v="8.1"/>
    <s v="75.9M Views"/>
    <s v="Guy Ritchie"/>
    <s v="Theo James"/>
    <d v="2024-03-07T00:00:00"/>
    <s v="S1; 401 min"/>
    <x v="1"/>
    <s v="Crime Comedy"/>
    <n v="401"/>
    <n v="75.900000000000006"/>
  </r>
  <r>
    <n v="2024"/>
    <s v="Avatar: Airbender"/>
    <n v="7.2"/>
    <s v="71.1M Views"/>
    <s v="Albert Kim"/>
    <s v="Gordon Cormier"/>
    <d v="2024-02-22T00:00:00"/>
    <s v="S1; 435 min"/>
    <x v="0"/>
    <s v="Fantasy / Action"/>
    <n v="435"/>
    <n v="71.099999999999994"/>
  </r>
  <r>
    <n v="2024"/>
    <s v="Griselda"/>
    <n v="7.2"/>
    <s v="69.2M Views"/>
    <s v="Doug Miro"/>
    <s v="Sofía Vergara"/>
    <d v="2024-01-25T00:00:00"/>
    <s v="6 Eps; 332 min"/>
    <x v="0"/>
    <s v="Biography / Crime"/>
    <n v="332"/>
    <n v="69.2"/>
  </r>
  <r>
    <n v="2024"/>
    <s v="3 Body Problem"/>
    <n v="7.5"/>
    <s v="52.4M Views"/>
    <s v="D. Benioff, D.B. Weiss"/>
    <s v="Jovan Adepo"/>
    <d v="2024-03-21T00:00:00"/>
    <s v="S1; 444 min"/>
    <x v="20"/>
    <s v="Science Fiction"/>
    <n v="444"/>
    <n v="52.4"/>
  </r>
  <r>
    <n v="2024"/>
    <s v="The Perfect Couple"/>
    <n v="6.5"/>
    <s v="75.1M Views"/>
    <s v="Susanne Bier"/>
    <s v="Nicole Kidman"/>
    <d v="2024-09-05T00:00:00"/>
    <s v="6 Eps; 306 min"/>
    <x v="0"/>
    <s v="Crime / Mystery"/>
    <n v="306"/>
    <n v="75.099999999999994"/>
  </r>
  <r>
    <n v="2024"/>
    <s v="One Day"/>
    <n v="8.1"/>
    <s v="39.4M Views"/>
    <s v="Nicole Taylor"/>
    <s v="Ambika Mod"/>
    <d v="2024-02-08T00:00:00"/>
    <s v="14 Eps; 400 min"/>
    <x v="4"/>
    <s v="Romance / Drama"/>
    <n v="400"/>
    <n v="39.4"/>
  </r>
  <r>
    <n v="2024"/>
    <s v="Berlin"/>
    <n v="7"/>
    <s v="48.5M Views"/>
    <s v="Álex Pina"/>
    <s v="Pedro Alonso"/>
    <d v="2023-12-29T00:00:00"/>
    <s v="S1; 424 min"/>
    <x v="5"/>
    <s v="Heist / Crime"/>
    <n v="424"/>
    <n v="48.5"/>
  </r>
  <r>
    <n v="2024"/>
    <s v="The Asunta Case"/>
    <n v="6.9"/>
    <s v="30.7M Views"/>
    <s v="Ramón Campos"/>
    <s v="Candela Peña"/>
    <d v="2024-04-26T00:00:00"/>
    <s v="6 Eps; 325 min"/>
    <x v="5"/>
    <s v="True Crime Drama"/>
    <n v="325"/>
    <n v="30.7"/>
  </r>
  <r>
    <n v="2024"/>
    <s v="Under Paris"/>
    <n v="5.2"/>
    <s v="84.7M Views"/>
    <s v="Xavier Gens"/>
    <s v="Bérénice Bejo"/>
    <d v="2024-06-05T00:00:00"/>
    <s v="Webfilm; 104 min"/>
    <x v="17"/>
    <s v="Action Horror"/>
    <n v="104"/>
    <n v="84.7"/>
  </r>
  <r>
    <n v="2024"/>
    <s v="La Palma"/>
    <n v="6.5"/>
    <s v="31.4M Views"/>
    <s v="Kasper Barfoed"/>
    <s v="Ane Dahl Torp"/>
    <d v="2024-12-12T00:00:00"/>
    <s v="1 Season; 184 min"/>
    <x v="22"/>
    <s v="Disaster Drama"/>
    <n v="184"/>
    <n v="31.4"/>
  </r>
  <r>
    <n v="2024"/>
    <s v="Raising Voices"/>
    <n v="7.2"/>
    <s v="25.4M Views"/>
    <s v="José Manuel Lorenzo"/>
    <s v="Nicole Wallace"/>
    <d v="2024-05-31T00:00:00"/>
    <s v="8 Eps; 363 min"/>
    <x v="5"/>
    <s v="Teen Drama"/>
    <n v="363"/>
    <n v="25.4"/>
  </r>
  <r>
    <n v="2024"/>
    <s v="Parasyte: The Grey"/>
    <n v="6.9"/>
    <s v="25.4M Views"/>
    <s v="Yeon Sang-ho"/>
    <s v="Jeon So-nee"/>
    <d v="2024-04-05T00:00:00"/>
    <s v="6 Eps; 300 min"/>
    <x v="13"/>
    <s v="Sci-Fi / Horror"/>
    <n v="300"/>
    <n v="25.4"/>
  </r>
  <r>
    <n v="2024"/>
    <s v="Queen of Tears"/>
    <n v="8.1999999999999993"/>
    <s v="29.2M Views"/>
    <s v="Park Ji-eun"/>
    <s v="Kim Soo-hyun"/>
    <d v="2024-03-09T00:00:00"/>
    <s v="16 Eps; 1402 min"/>
    <x v="13"/>
    <s v="Romance Drama"/>
    <n v="1402"/>
    <n v="29.2"/>
  </r>
  <r>
    <n v="2024"/>
    <s v="Vikings: Valhalla 3"/>
    <n v="7.3"/>
    <s v="20M Views"/>
    <s v="Jeb Stuart"/>
    <s v="Sam Corlett"/>
    <d v="2024-07-11T00:00:00"/>
    <s v="S3; 400 min"/>
    <x v="0"/>
    <s v="Historical Drama "/>
    <n v="400"/>
    <n v="20"/>
  </r>
  <r>
    <n v="2024"/>
    <s v="The Brothers Sun"/>
    <n v="7.6"/>
    <s v="23.9M Views"/>
    <s v="Byron Wu"/>
    <s v="Michelle Yeoh"/>
    <d v="2024-01-04T00:00:00"/>
    <s v="S1; 440 min"/>
    <x v="0"/>
    <s v="Action / Comedy"/>
    <n v="440"/>
    <n v="23.9"/>
  </r>
  <r>
    <n v="2024"/>
    <s v="Furies"/>
    <n v="6.3"/>
    <s v="23.3M Views"/>
    <s v="Jean-Yves Arnaud"/>
    <s v="Lina El Arabi"/>
    <d v="2024-03-01T00:00:00"/>
    <s v="S1; 360 min"/>
    <x v="17"/>
    <s v="Action / Crime"/>
    <n v="360"/>
    <n v="23.3"/>
  </r>
  <r>
    <n v="2025"/>
    <s v="Adolescence"/>
    <n v="8.8000000000000007"/>
    <s v="142.6M Views"/>
    <s v="Philip Barantini"/>
    <s v="Owen Cooper"/>
    <d v="2025-03-13T00:00:00"/>
    <s v="1 Season; 230 min"/>
    <x v="4"/>
    <s v="Crime Drama "/>
    <n v="230"/>
    <n v="142.6"/>
  </r>
  <r>
    <n v="2025"/>
    <s v="Squid Game 3"/>
    <n v="8"/>
    <s v="145.8M Views"/>
    <s v="Hwang Dong-hyuk"/>
    <s v="Lee Jung-jae"/>
    <d v="2025-06-27T00:00:00"/>
    <s v="S3; 368 min"/>
    <x v="13"/>
    <s v="Survival Drama "/>
    <n v="368"/>
    <n v="145.80000000000001"/>
  </r>
  <r>
    <n v="2025"/>
    <s v="Stranger Things 5"/>
    <n v="8.6999999999999993"/>
    <s v="133.8M Views"/>
    <s v="The Duffer Brothers"/>
    <s v="Millie B. Brown"/>
    <d v="2025-11-26T00:00:00"/>
    <s v="S5; 624 min"/>
    <x v="0"/>
    <s v="Sci-Fi / Horror "/>
    <n v="624"/>
    <n v="133.80000000000001"/>
  </r>
  <r>
    <n v="2025"/>
    <s v="Wednesday 2"/>
    <n v="8.1"/>
    <s v="124M Views"/>
    <s v="Tim Burton"/>
    <s v="Jenna Ortega"/>
    <d v="2025-08-06T00:00:00"/>
    <s v="S2; 467 min"/>
    <x v="0"/>
    <s v="Supernatural Mystery "/>
    <n v="467"/>
    <n v="124"/>
  </r>
  <r>
    <n v="2025"/>
    <s v="KPop Demon Hunters"/>
    <n v="7.5"/>
    <s v="482M Views"/>
    <s v="Maggie Kang, Chris Appelhans"/>
    <s v="Animation/Music"/>
    <d v="2025-06-20T00:00:00"/>
    <s v="Webseries; 400 min"/>
    <x v="13"/>
    <s v="Musical Fantasy "/>
    <n v="400"/>
    <n v="482"/>
  </r>
  <r>
    <n v="2025"/>
    <s v="Zero Day"/>
    <n v="7.6"/>
    <s v="61.3M Views"/>
    <s v="Lesli Linka Glatter"/>
    <s v="Robert De Niro"/>
    <d v="2025-01-01T00:00:00"/>
    <s v="6 Eps; 309 min"/>
    <x v="0"/>
    <s v="Political Thriller"/>
    <n v="309"/>
    <n v="61.3"/>
  </r>
  <r>
    <n v="2025"/>
    <s v="Missing You"/>
    <n v="7.1"/>
    <s v="58M Views"/>
    <s v="Carlton Cuse"/>
    <s v="Rosalind Eleazar"/>
    <d v="2025-01-01T00:00:00"/>
    <s v="1 Season; 226 min"/>
    <x v="4"/>
    <s v="Crime Drama "/>
    <n v="226"/>
    <n v="58"/>
  </r>
  <r>
    <n v="2025"/>
    <s v="UNTAMED"/>
    <n v="7.8"/>
    <s v="93M Views"/>
    <s v="Mark L. Smith"/>
    <s v="Eric Bana"/>
    <d v="2025-07-17T00:00:00"/>
    <s v="S1; 300 min"/>
    <x v="0"/>
    <s v="Crime Thriller"/>
    <n v="300"/>
    <n v="93"/>
  </r>
  <r>
    <n v="2025"/>
    <s v="A House of Dynamite"/>
    <n v="7.2"/>
    <s v="76M Views"/>
    <s v="Kathryn Bigelow"/>
    <s v="Idris Elba"/>
    <d v="2025-08-20T00:00:00"/>
    <s v="S1; 400 min"/>
    <x v="0"/>
    <s v="Drama "/>
    <n v="400"/>
    <n v="76"/>
  </r>
  <r>
    <n v="2025"/>
    <s v="The Great Flood"/>
    <n v="6.8"/>
    <s v="66M Views"/>
    <s v="Kim Byung-woo"/>
    <s v="Kim Da-mi"/>
    <d v="2025-01-01T00:00:00"/>
    <s v="1 Season; 450 min"/>
    <x v="13"/>
    <s v="Science Fiction "/>
    <n v="450"/>
    <n v="66"/>
  </r>
  <r>
    <n v="2025"/>
    <s v="Ms. Rachel"/>
    <n v="8.5"/>
    <s v="73M Views"/>
    <s v="Rachel Griffin"/>
    <s v="Rachel Griffin"/>
    <d v="2025-01-01T00:00:00"/>
    <s v="S1/2; 300 min"/>
    <x v="0"/>
    <s v="Kids / Family "/>
    <n v="300"/>
    <n v="73"/>
  </r>
  <r>
    <n v="2025"/>
    <s v="Gabby's Dollhouse"/>
    <n v="7.1"/>
    <s v="108M Views"/>
    <s v="Traci Paige Johnson"/>
    <s v="Laila Lockhart"/>
    <d v="2025-07-01T00:00:00"/>
    <s v="All Seasons; 1000 min"/>
    <x v="0"/>
    <s v="Kids / Family "/>
    <n v="1000"/>
    <n v="108"/>
  </r>
  <r>
    <n v="2025"/>
    <s v="When Life Tangerines"/>
    <n v="8.4"/>
    <s v="34.8M Views"/>
    <s v="Kim Won-seok"/>
    <s v="IU, Park Bo-gum"/>
    <d v="2025-01-01T00:00:00"/>
    <s v="1 Season; 995 min"/>
    <x v="13"/>
    <s v="Period Drama "/>
    <n v="995"/>
    <n v="34.799999999999997"/>
  </r>
  <r>
    <n v="2025"/>
    <s v="Trauma Code: Heroes"/>
    <n v="8"/>
    <s v="34.1M Views"/>
    <s v="Lee Chi-hyung"/>
    <s v="Ju Ji-hoon"/>
    <d v="2025-01-01T00:00:00"/>
    <s v="S1; 416 min"/>
    <x v="13"/>
    <s v="Medical Drama "/>
    <n v="416"/>
    <n v="34.1"/>
  </r>
  <r>
    <n v="2025"/>
    <s v="Zero Day"/>
    <n v="7.6"/>
    <s v="61M Views"/>
    <s v="Lesli Linka Glatter"/>
    <s v="Robert De Niro"/>
    <d v="2025-01-01T00:00:00"/>
    <s v="6 Eps; 300 min"/>
    <x v="0"/>
    <s v="Political Thriller"/>
    <n v="300"/>
    <n v="61"/>
  </r>
  <r>
    <n v="2025"/>
    <s v="The Åre Murders"/>
    <n v="7.3"/>
    <s v="32.6M Views"/>
    <s v="Joakim Eliasson,Alain Darborg."/>
    <s v="Carla Sehn"/>
    <d v="2025-03-01T00:00:00"/>
    <s v="S1; 218 min"/>
    <x v="23"/>
    <s v="Crime Drama "/>
    <n v="218"/>
    <n v="32.6"/>
  </r>
  <r>
    <n v="2025"/>
    <s v="Secrets We Keep"/>
    <n v="7.5"/>
    <s v="33.8M Views"/>
    <s v="Per Fly"/>
    <s v="Marie Bach Hansen"/>
    <d v="2025-02-15T00:00:00"/>
    <s v="1 Season; 224 min"/>
    <x v="24"/>
    <s v="Crime Drama "/>
    <n v="224"/>
    <n v="33.799999999999997"/>
  </r>
  <r>
    <n v="2025"/>
    <s v="The Gardener"/>
    <n v="7.2"/>
    <s v="33.5M Views"/>
    <s v="Mikel Rueda, Rafa Montesinos."/>
    <s v="Álvaro Rico"/>
    <d v="2025-01-01T00:00:00"/>
    <s v="1 Season; 280 min"/>
    <x v="5"/>
    <s v="Crime Drama"/>
    <n v="280"/>
    <n v="33.5"/>
  </r>
  <r>
    <n v="2025"/>
    <s v="Running Point"/>
    <n v="6.7"/>
    <s v="41.3M Views"/>
    <s v="Mindy Kaling"/>
    <s v="Kate Hudson"/>
    <d v="2025-03-15T00:00:00"/>
    <s v="S1; 304 min"/>
    <x v="0"/>
    <s v="Comedy "/>
    <n v="304"/>
    <n v="41.3"/>
  </r>
  <r>
    <n v="2025"/>
    <s v="The Four Seasons"/>
    <n v="6.9"/>
    <s v="39.4M Views"/>
    <s v="Erika Dunton"/>
    <s v="Colman Domingo"/>
    <d v="2025-04-01T00:00:00"/>
    <s v="S1; 258 min"/>
    <x v="0"/>
    <s v="Comedy "/>
    <n v="258"/>
    <n v="39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n v="2016"/>
    <x v="0"/>
    <n v="8"/>
    <s v="23.0M Streams"/>
    <s v="Jenji Kohan"/>
    <s v="Taylor Schilling, Uzo Aduba"/>
    <d v="2016-06-17T00:00:00"/>
    <s v="S4; 730 min"/>
    <s v="USA"/>
    <x v="0"/>
    <n v="730"/>
    <s v=""/>
    <n v="7.6969999999999956"/>
    <n v="4.3"/>
    <n v="9.3000000000000007"/>
    <n v="70"/>
    <n v="49.154929577464777"/>
    <n v="3.2"/>
    <n v="482"/>
    <n v="6.3886466909483103E-3"/>
  </r>
  <r>
    <n v="2016"/>
    <x v="1"/>
    <n v="8.6999999999999993"/>
    <s v="21.7M Streams"/>
    <s v="The Duffer Brothers"/>
    <s v="Winona Ryder, Millie Bobby Brown"/>
    <d v="2016-07-15T00:00:00"/>
    <s v="S1; 400 min"/>
    <s v="USA"/>
    <x v="1"/>
    <n v="400"/>
    <s v=""/>
    <m/>
    <m/>
    <m/>
    <s v="Percentage "/>
    <m/>
    <m/>
    <m/>
    <m/>
  </r>
  <r>
    <n v="2016"/>
    <x v="2"/>
    <n v="6.7"/>
    <s v="21.5M Streams"/>
    <s v="Jeff Franklin"/>
    <s v="Candace Cameron Bure, Jodie Sweetin"/>
    <d v="2016-02-25T00:00:00"/>
    <s v="S1; 390 min"/>
    <s v="USA"/>
    <x v="2"/>
    <n v="390"/>
    <s v=""/>
    <m/>
    <m/>
    <m/>
    <n v="0.35"/>
    <m/>
    <m/>
    <m/>
    <m/>
  </r>
  <r>
    <n v="2016"/>
    <x v="3"/>
    <n v="7.3"/>
    <s v="12.1M Streams"/>
    <s v="Cheo Hodari Coker"/>
    <s v="Mike Colter, Alfre Woodard"/>
    <d v="2016-09-30T00:00:00"/>
    <s v="S1; 715 min"/>
    <s v="USA"/>
    <x v="3"/>
    <n v="715"/>
    <s v=""/>
    <m/>
    <m/>
    <m/>
    <m/>
    <m/>
    <m/>
    <m/>
    <m/>
  </r>
  <r>
    <n v="2016"/>
    <x v="4"/>
    <n v="8.6"/>
    <s v="11.6M Streams"/>
    <s v="Drew Goddard"/>
    <s v="Charlie Cox, Deborah Ann Woll"/>
    <d v="2016-03-18T00:00:00"/>
    <s v="S2; 650 min"/>
    <s v="USA"/>
    <x v="4"/>
    <n v="650"/>
    <s v=""/>
    <m/>
    <m/>
    <m/>
    <m/>
    <m/>
    <m/>
    <m/>
    <m/>
  </r>
  <r>
    <n v="2016"/>
    <x v="5"/>
    <n v="8.6"/>
    <s v="7.0M Streams"/>
    <s v="Peter Morgan"/>
    <s v="Claire Foy, Matt Smith"/>
    <d v="2016-11-04T00:00:00"/>
    <s v="S1; 600 min"/>
    <s v="UK/USA"/>
    <x v="5"/>
    <n v="600"/>
    <s v=""/>
    <m/>
    <m/>
    <m/>
    <m/>
    <m/>
    <m/>
    <m/>
    <m/>
  </r>
  <r>
    <n v="2016"/>
    <x v="6"/>
    <n v="7.6"/>
    <s v="6.3M Streams"/>
    <s v="Amy Sherman-Palladino"/>
    <s v="Lauren Graham, Alexis Bledel"/>
    <d v="2016-11-25T00:00:00"/>
    <s v="4 Eps; 360 min"/>
    <s v="USA"/>
    <x v="6"/>
    <n v="360"/>
    <s v=""/>
    <m/>
    <m/>
    <m/>
    <m/>
    <m/>
    <m/>
    <m/>
    <m/>
  </r>
  <r>
    <n v="2016"/>
    <x v="7"/>
    <n v="7.5"/>
    <s v="5.8M Streams"/>
    <s v="Don Reo"/>
    <s v="Ashton Kutcher, Sam Elliott"/>
    <d v="2016-04-01T00:00:00"/>
    <s v="P1; 300 min"/>
    <s v="USA"/>
    <x v="7"/>
    <n v="300"/>
    <s v=""/>
    <m/>
    <m/>
    <m/>
    <m/>
    <m/>
    <m/>
    <m/>
    <m/>
  </r>
  <r>
    <n v="2016"/>
    <x v="8"/>
    <n v="8.1"/>
    <s v="5.3M Streams"/>
    <s v="Bridget Carpenter"/>
    <s v="James Franco, Sarah Gadon"/>
    <d v="2016-02-15T00:00:00"/>
    <s v="8 Eps; 440 min"/>
    <s v="USA"/>
    <x v="8"/>
    <n v="440"/>
    <s v=""/>
    <m/>
    <m/>
    <m/>
    <m/>
    <m/>
    <m/>
    <m/>
    <m/>
  </r>
  <r>
    <n v="2016"/>
    <x v="9"/>
    <n v="7.3"/>
    <s v="4.5M Streams"/>
    <s v="Pedro Aguilera"/>
    <s v="Bianca Comparato"/>
    <d v="2016-11-25T00:00:00"/>
    <s v="S1; 380 min"/>
    <s v="Brazil"/>
    <x v="9"/>
    <n v="380"/>
    <s v=""/>
    <m/>
    <m/>
    <m/>
    <m/>
    <m/>
    <m/>
    <m/>
    <m/>
  </r>
  <r>
    <n v="2016"/>
    <x v="10"/>
    <n v="7.7"/>
    <s v="4.0M Streams"/>
    <s v="Judd Apatow"/>
    <s v="Gillian Jacobs, Paul Rust"/>
    <d v="2016-02-19T00:00:00"/>
    <s v="S1; 300 min"/>
    <s v="USA"/>
    <x v="10"/>
    <n v="300"/>
    <s v=""/>
    <m/>
    <m/>
    <m/>
    <m/>
    <m/>
    <m/>
    <m/>
    <m/>
  </r>
  <r>
    <n v="2016"/>
    <x v="11"/>
    <n v="8.8000000000000007"/>
    <s v="3.8M Streams"/>
    <s v="Chris Brancato"/>
    <s v="Wagner Moura, Pedro Pascal"/>
    <d v="2016-09-02T00:00:00"/>
    <s v="S2; 500 min"/>
    <s v="USA/Colombia"/>
    <x v="11"/>
    <n v="500"/>
    <s v=""/>
    <m/>
    <m/>
    <m/>
    <m/>
    <m/>
    <m/>
    <m/>
    <m/>
  </r>
  <r>
    <n v="2016"/>
    <x v="12"/>
    <n v="8.6999999999999993"/>
    <s v="3.7M Streams"/>
    <s v="Charlie Brooker"/>
    <s v="Gugu Mbatha-Raw, Bryce Dallas Howard"/>
    <d v="2016-10-21T00:00:00"/>
    <s v="S3; 360 min"/>
    <s v="UK"/>
    <x v="12"/>
    <n v="360"/>
    <s v=""/>
    <m/>
    <m/>
    <m/>
    <m/>
    <m/>
    <m/>
    <m/>
    <m/>
  </r>
  <r>
    <n v="2016"/>
    <x v="13"/>
    <n v="7.9"/>
    <s v="3.3M Streams"/>
    <s v="Todd A. Kessler"/>
    <s v="Kyle Chandler, Ben Mendelsohn"/>
    <d v="2016-05-27T00:00:00"/>
    <s v="S2; 600 min"/>
    <s v="USA"/>
    <x v="13"/>
    <n v="600"/>
    <s v=""/>
    <m/>
    <m/>
    <m/>
    <m/>
    <m/>
    <m/>
    <m/>
    <m/>
  </r>
  <r>
    <n v="2016"/>
    <x v="14"/>
    <n v="8.3000000000000007"/>
    <s v="3.2M Streams"/>
    <s v="John Coveny"/>
    <s v="Robert Taylor, Katee Sackhoff"/>
    <d v="2016-09-23T00:00:00"/>
    <s v="S5; 600 min"/>
    <s v="USA"/>
    <x v="11"/>
    <n v="600"/>
    <s v=""/>
    <m/>
    <m/>
    <m/>
    <m/>
    <m/>
    <m/>
    <m/>
    <m/>
  </r>
  <r>
    <n v="2016"/>
    <x v="15"/>
    <n v="7.2"/>
    <s v="2.7M Streams"/>
    <s v="Eddie Schmidt"/>
    <s v="Chelsea Handler"/>
    <d v="2016-01-23T00:00:00"/>
    <s v="4 Eps; 240 min"/>
    <s v="USA"/>
    <x v="14"/>
    <n v="240"/>
    <s v=""/>
    <m/>
    <m/>
    <m/>
    <m/>
    <m/>
    <m/>
    <m/>
    <m/>
  </r>
  <r>
    <n v="2016"/>
    <x v="16"/>
    <n v="7.2"/>
    <s v="2.04M Streams"/>
    <s v="Will Arnett"/>
    <s v="Will Arnett, David Sullivan"/>
    <d v="2016-03-11T00:00:00"/>
    <s v="S1; 240 min"/>
    <s v="USA"/>
    <x v="15"/>
    <n v="240"/>
    <s v=""/>
    <m/>
    <m/>
    <m/>
    <m/>
    <m/>
    <m/>
    <m/>
    <m/>
  </r>
  <r>
    <n v="2016"/>
    <x v="17"/>
    <n v="8.8000000000000007"/>
    <s v="2.0M Streams"/>
    <s v="R. Bob-Waksberg"/>
    <s v="Will Arnett, Aaron Paul"/>
    <d v="2016-07-22T00:00:00"/>
    <s v="S3; 300 min"/>
    <s v="USA"/>
    <x v="16"/>
    <n v="300"/>
    <s v=""/>
    <m/>
    <m/>
    <m/>
    <m/>
    <m/>
    <m/>
    <m/>
    <m/>
  </r>
  <r>
    <n v="2016"/>
    <x v="18"/>
    <n v="8"/>
    <s v="1.9M Streams"/>
    <s v="John Fusco"/>
    <s v="Lorenzo Richelmy, Benedict Wong"/>
    <d v="2016-07-01T00:00:00"/>
    <s v="S2; 600 min"/>
    <s v="USA"/>
    <x v="17"/>
    <n v="600"/>
    <s v=""/>
    <m/>
    <m/>
    <m/>
    <m/>
    <m/>
    <m/>
    <m/>
    <m/>
  </r>
  <r>
    <n v="2016"/>
    <x v="19"/>
    <n v="7.4"/>
    <s v="1.8M Streams"/>
    <s v="Maria Bamford"/>
    <s v="Maria Bamford, Fred Melamed"/>
    <d v="2016-05-20T00:00:00"/>
    <s v="S1; 360 min"/>
    <s v="USA"/>
    <x v="18"/>
    <n v="360"/>
    <s v=""/>
    <m/>
    <m/>
    <m/>
    <m/>
    <m/>
    <m/>
    <m/>
    <m/>
  </r>
  <r>
    <n v="2017"/>
    <x v="20"/>
    <n v="7.5"/>
    <s v="475M Hours (S1)"/>
    <s v="Brian Yorkey"/>
    <s v="Dylan Minnette, Katherine Langford"/>
    <d v="2017-03-31T00:00:00"/>
    <s v="S1; 780 min"/>
    <s v="USA"/>
    <x v="19"/>
    <n v="780"/>
    <s v=""/>
    <m/>
    <m/>
    <m/>
    <m/>
    <m/>
    <m/>
    <m/>
    <m/>
  </r>
  <r>
    <n v="2017"/>
    <x v="21"/>
    <n v="8.1999999999999993"/>
    <s v="426M Hours (P3)"/>
    <s v="Álex Pina"/>
    <s v="Álvaro Morte, Úrsula Corberó"/>
    <d v="2017-05-02T00:00:00"/>
    <s v="P1; 600 min"/>
    <s v="Spain"/>
    <x v="20"/>
    <n v="600"/>
    <s v=""/>
    <m/>
    <m/>
    <m/>
    <m/>
    <m/>
    <m/>
    <m/>
    <m/>
  </r>
  <r>
    <n v="2017"/>
    <x v="22"/>
    <n v="8.1999999999999993"/>
    <s v="12.4M Views"/>
    <s v="Tony Yacenda"/>
    <s v="Tyler Alvarez, Griffin Gluck"/>
    <d v="2017-09-15T00:00:00"/>
    <s v="S1; 240 min"/>
    <s v="USA"/>
    <x v="21"/>
    <n v="240"/>
    <n v="12.4"/>
    <m/>
    <m/>
    <m/>
    <m/>
    <m/>
    <m/>
    <m/>
    <m/>
  </r>
  <r>
    <n v="2017"/>
    <x v="23"/>
    <n v="8.5"/>
    <s v="491M Hours (S4)"/>
    <s v="Bill Dubuque"/>
    <s v="Jason Bateman, Laura Linney"/>
    <d v="2017-07-21T00:00:00"/>
    <s v="S1; 600 min"/>
    <s v="USA"/>
    <x v="11"/>
    <n v="600"/>
    <s v=""/>
    <m/>
    <m/>
    <m/>
    <m/>
    <m/>
    <m/>
    <m/>
    <m/>
  </r>
  <r>
    <n v="2017"/>
    <x v="24"/>
    <n v="8.6"/>
    <s v="15.5M Views"/>
    <s v="Joe Penhall"/>
    <s v="Jonathan Groff, Holt McCallany"/>
    <d v="2017-10-13T00:00:00"/>
    <s v="S1; 500 min"/>
    <s v="USA"/>
    <x v="11"/>
    <n v="500"/>
    <n v="15.5"/>
    <m/>
    <m/>
    <m/>
    <m/>
    <m/>
    <m/>
    <m/>
    <m/>
  </r>
  <r>
    <n v="2017"/>
    <x v="25"/>
    <n v="8.6999999999999993"/>
    <s v="7.4M Views"/>
    <s v="Moira Walley-Beckett"/>
    <s v="Amybeth McNulty"/>
    <d v="2017-03-19T00:00:00"/>
    <s v="S1; 330 min"/>
    <s v="Canada"/>
    <x v="6"/>
    <n v="330"/>
    <n v="7.4"/>
    <m/>
    <m/>
    <m/>
    <m/>
    <m/>
    <m/>
    <m/>
    <m/>
  </r>
  <r>
    <n v="2017"/>
    <x v="9"/>
    <n v="7.3"/>
    <s v="4.5M Views (S1)"/>
    <s v="Pedro Aguilera"/>
    <s v="Bianca Comparato"/>
    <d v="2016-11-25T00:00:00"/>
    <s v="S1; 380 min"/>
    <s v="Brazil"/>
    <x v="22"/>
    <n v="380"/>
    <n v="4.5"/>
    <m/>
    <m/>
    <m/>
    <m/>
    <m/>
    <m/>
    <m/>
    <m/>
  </r>
  <r>
    <n v="2017"/>
    <x v="26"/>
    <n v="8"/>
    <s v="7.1M Views"/>
    <s v="Brad Wright"/>
    <s v="Eric McCormack"/>
    <d v="2016-12-23T00:00:00"/>
    <s v="S1; 540 min"/>
    <s v="Canada/USA"/>
    <x v="23"/>
    <n v="540"/>
    <n v="7.1"/>
    <m/>
    <m/>
    <m/>
    <m/>
    <m/>
    <m/>
    <m/>
    <m/>
  </r>
  <r>
    <n v="2017"/>
    <x v="27"/>
    <n v="7.8"/>
    <s v="4.9M Views"/>
    <s v="Brit Marling"/>
    <s v="Brit Marling, Jason Isaacs"/>
    <d v="2016-12-16T00:00:00"/>
    <s v="P1; 480 min"/>
    <s v="USA"/>
    <x v="24"/>
    <n v="480"/>
    <n v="4.9000000000000004"/>
    <m/>
    <m/>
    <m/>
    <m/>
    <m/>
    <m/>
    <m/>
    <m/>
  </r>
  <r>
    <n v="2017"/>
    <x v="28"/>
    <n v="6.9"/>
    <s v="5.3M Views"/>
    <s v="Epigmenio Ibarra"/>
    <s v="Kate del Castillo"/>
    <d v="2017-03-24T00:00:00"/>
    <s v="S1; 450 min"/>
    <s v="Mexico"/>
    <x v="25"/>
    <n v="450"/>
    <n v="5.3"/>
    <m/>
    <m/>
    <m/>
    <m/>
    <m/>
    <m/>
    <m/>
    <m/>
  </r>
  <r>
    <n v="2017"/>
    <x v="29"/>
    <n v="8.1"/>
    <s v="6.8M Views"/>
    <s v="Ryan White"/>
    <s v="Documentary"/>
    <d v="2017-05-19T00:00:00"/>
    <s v="7 Eps; 420 min"/>
    <s v="USA"/>
    <x v="26"/>
    <n v="420"/>
    <n v="6.8"/>
    <m/>
    <m/>
    <m/>
    <m/>
    <m/>
    <m/>
    <m/>
    <m/>
  </r>
  <r>
    <n v="2017"/>
    <x v="30"/>
    <n v="7.5"/>
    <s v="5.1M Views"/>
    <s v="Kelly Loudenberg"/>
    <s v="Documentary"/>
    <d v="2017-09-07T00:00:00"/>
    <s v="S1; 300 min"/>
    <s v="USA"/>
    <x v="26"/>
    <n v="300"/>
    <n v="5.0999999999999996"/>
    <m/>
    <m/>
    <m/>
    <m/>
    <m/>
    <m/>
    <m/>
    <m/>
  </r>
  <r>
    <n v="2017"/>
    <x v="5"/>
    <n v="8.6"/>
    <s v="16B Minutes"/>
    <s v="Peter Morgan"/>
    <s v="Claire Foy, Matt Smith"/>
    <d v="2017-12-08T00:00:00"/>
    <s v="S2; 600 min"/>
    <s v="UK"/>
    <x v="5"/>
    <n v="600"/>
    <s v=""/>
    <m/>
    <m/>
    <m/>
    <m/>
    <m/>
    <m/>
    <m/>
    <m/>
  </r>
  <r>
    <n v="2017"/>
    <x v="31"/>
    <n v="7.9"/>
    <s v="10.1M Views"/>
    <s v="Nick Kroll"/>
    <s v="Nick Kroll, John Mulaney"/>
    <d v="2017-09-29T00:00:00"/>
    <s v="S1; 300 min"/>
    <s v="USA"/>
    <x v="16"/>
    <n v="300"/>
    <n v="10.1"/>
    <m/>
    <m/>
    <m/>
    <m/>
    <m/>
    <m/>
    <m/>
    <m/>
  </r>
  <r>
    <n v="2017"/>
    <x v="32"/>
    <n v="5.8"/>
    <s v="3.2M Views"/>
    <s v="Ezra Koenig"/>
    <s v="Jaden Smith, Jude Law"/>
    <d v="2017-09-22T00:00:00"/>
    <s v="S1; 140 min"/>
    <s v="USA/Japan"/>
    <x v="27"/>
    <n v="140"/>
    <n v="3.2"/>
    <m/>
    <m/>
    <m/>
    <m/>
    <m/>
    <m/>
    <m/>
    <m/>
  </r>
  <r>
    <n v="2017"/>
    <x v="33"/>
    <n v="7.8"/>
    <s v="10.5M Views"/>
    <s v="Barry Sonnenfeld"/>
    <s v="Neil Patrick Harris"/>
    <d v="2017-01-13T00:00:00"/>
    <s v="S1; 400 min"/>
    <s v="USA"/>
    <x v="28"/>
    <n v="400"/>
    <n v="10.5"/>
    <m/>
    <m/>
    <m/>
    <m/>
    <m/>
    <m/>
    <m/>
    <m/>
  </r>
  <r>
    <n v="2017"/>
    <x v="34"/>
    <n v="8"/>
    <s v="8.5M Views"/>
    <s v="Liz Flahive"/>
    <s v="Alison Brie, Marc Maron"/>
    <d v="2017-06-23T00:00:00"/>
    <s v="S1; 300 min"/>
    <s v="USA"/>
    <x v="29"/>
    <n v="300"/>
    <n v="8.5"/>
    <m/>
    <m/>
    <m/>
    <m/>
    <m/>
    <m/>
    <m/>
    <m/>
  </r>
  <r>
    <n v="2017"/>
    <x v="35"/>
    <n v="6.9"/>
    <s v="4.8M Views"/>
    <s v="Nicholas Stoller"/>
    <s v="Keegan-Michael Key"/>
    <d v="2017-07-14T00:00:00"/>
    <s v="S1; 240 min"/>
    <s v="USA"/>
    <x v="30"/>
    <n v="240"/>
    <n v="4.8"/>
    <m/>
    <m/>
    <m/>
    <m/>
    <m/>
    <m/>
    <m/>
    <m/>
  </r>
  <r>
    <n v="2017"/>
    <x v="36"/>
    <n v="8.1999999999999993"/>
    <s v="8.1M Views"/>
    <s v="Robia Rashid"/>
    <s v="Keir Gilchrist, Jennifer Jason Leigh"/>
    <d v="2017-08-11T00:00:00"/>
    <s v="S1; 240 min"/>
    <s v="USA"/>
    <x v="31"/>
    <n v="240"/>
    <n v="8.1"/>
    <m/>
    <m/>
    <m/>
    <m/>
    <m/>
    <m/>
    <m/>
    <m/>
  </r>
  <r>
    <n v="2017"/>
    <x v="37"/>
    <n v="6.4"/>
    <s v="5.2M Views"/>
    <s v="Justin Simien"/>
    <s v="Logan Browning, Brandon P. Bell"/>
    <d v="2017-04-28T00:00:00"/>
    <s v="V1; 300 min"/>
    <s v="USA"/>
    <x v="32"/>
    <n v="300"/>
    <n v="5.2"/>
    <m/>
    <m/>
    <m/>
    <m/>
    <m/>
    <m/>
    <m/>
    <m/>
  </r>
  <r>
    <n v="2018"/>
    <x v="38"/>
    <n v="7.9"/>
    <s v="High Rewatch Rate"/>
    <s v="Lauren Iungerich"/>
    <s v="Sierra Capri, Jason Genao"/>
    <d v="2018-03-16T00:00:00"/>
    <s v="S1; 300 min"/>
    <s v="USA"/>
    <x v="33"/>
    <n v="300"/>
    <s v=""/>
    <m/>
    <m/>
    <m/>
    <m/>
    <m/>
    <m/>
    <m/>
    <m/>
  </r>
  <r>
    <n v="2018"/>
    <x v="39"/>
    <n v="8.6"/>
    <s v="13.4M (S1)"/>
    <s v="Laura Ricciardi"/>
    <s v="Steven Avery"/>
    <d v="2018-10-19T00:00:00"/>
    <s v="P2; 600 min"/>
    <s v="USA"/>
    <x v="26"/>
    <n v="600"/>
    <s v=""/>
    <m/>
    <m/>
    <m/>
    <m/>
    <m/>
    <m/>
    <m/>
    <m/>
  </r>
  <r>
    <n v="2018"/>
    <x v="20"/>
    <n v="7.5"/>
    <s v="496M Hours (S2)"/>
    <s v="Brian Yorkey"/>
    <s v="Dylan Minnette"/>
    <d v="2018-05-18T00:00:00"/>
    <s v="S2; 780 min"/>
    <s v="USA"/>
    <x v="34"/>
    <n v="780"/>
    <s v=""/>
    <m/>
    <m/>
    <m/>
    <m/>
    <m/>
    <m/>
    <m/>
    <m/>
  </r>
  <r>
    <n v="2018"/>
    <x v="40"/>
    <n v="8.4"/>
    <s v="8.1M Views"/>
    <s v="Greg Whiteley"/>
    <s v="Documentary"/>
    <d v="2018-07-20T00:00:00"/>
    <s v="S3; 480 min"/>
    <s v="USA"/>
    <x v="35"/>
    <n v="480"/>
    <n v="8.1"/>
    <m/>
    <m/>
    <m/>
    <m/>
    <m/>
    <m/>
    <m/>
    <m/>
  </r>
  <r>
    <n v="2018"/>
    <x v="41"/>
    <n v="8.1"/>
    <s v="14.2M Views"/>
    <s v="Jed Mercurio"/>
    <s v="Richard Madden"/>
    <d v="2018-10-24T00:00:00"/>
    <s v="S1; 360 min"/>
    <s v="UK"/>
    <x v="36"/>
    <n v="360"/>
    <n v="14.2"/>
    <m/>
    <m/>
    <m/>
    <m/>
    <m/>
    <m/>
    <m/>
    <m/>
  </r>
  <r>
    <n v="2018"/>
    <x v="42"/>
    <n v="7.1"/>
    <s v="6.5M Views"/>
    <s v="Scott Weintrob"/>
    <s v="Reality"/>
    <d v="2018-04-06T00:00:00"/>
    <s v="S1; 400 min"/>
    <s v="USA"/>
    <x v="37"/>
    <n v="400"/>
    <n v="6.5"/>
    <m/>
    <m/>
    <m/>
    <m/>
    <m/>
    <m/>
    <m/>
    <m/>
  </r>
  <r>
    <n v="2018"/>
    <x v="43"/>
    <n v="8.5"/>
    <s v="15.7M Views"/>
    <s v="Mike Flanagan"/>
    <s v="Michiel Huisman, Carla Gugino"/>
    <d v="2018-10-12T00:00:00"/>
    <s v="10 Eps; 570 min"/>
    <s v="USA"/>
    <x v="38"/>
    <n v="570"/>
    <n v="15.7"/>
    <m/>
    <m/>
    <m/>
    <m/>
    <m/>
    <m/>
    <m/>
    <m/>
  </r>
  <r>
    <n v="2018"/>
    <x v="25"/>
    <n v="8.6999999999999993"/>
    <s v="7.4M Views"/>
    <s v="M. Walley-Beckett"/>
    <s v="Amybeth McNulty"/>
    <d v="2018-07-06T00:00:00"/>
    <s v="S2; 450 min"/>
    <s v="Canada"/>
    <x v="6"/>
    <n v="450"/>
    <n v="7.4"/>
    <m/>
    <m/>
    <m/>
    <m/>
    <m/>
    <m/>
    <m/>
    <m/>
  </r>
  <r>
    <n v="2018"/>
    <x v="44"/>
    <n v="6.5"/>
    <s v="10.4M Views"/>
    <s v="Lauren Gussis"/>
    <s v="Debby Ryan"/>
    <d v="2018-08-10T00:00:00"/>
    <s v="S1; 540 min"/>
    <s v="USA"/>
    <x v="39"/>
    <n v="540"/>
    <n v="10.4"/>
    <m/>
    <m/>
    <m/>
    <m/>
    <m/>
    <m/>
    <m/>
    <m/>
  </r>
  <r>
    <n v="2018"/>
    <x v="0"/>
    <n v="8"/>
    <s v="50M Views (S6)"/>
    <s v="Jenji Kohan"/>
    <s v="Taylor Schilling"/>
    <d v="2018-07-27T00:00:00"/>
    <s v="S6; 780 min"/>
    <s v="USA"/>
    <x v="0"/>
    <n v="780"/>
    <n v="50"/>
    <m/>
    <m/>
    <m/>
    <m/>
    <m/>
    <m/>
    <m/>
    <m/>
  </r>
  <r>
    <n v="2018"/>
    <x v="45"/>
    <n v="7.2"/>
    <s v="30M Views (S1)"/>
    <s v="Carlos Montero"/>
    <s v="Itzan Escamilla"/>
    <d v="2018-10-05T00:00:00"/>
    <s v="S1; 400 min"/>
    <s v="Spain"/>
    <x v="40"/>
    <n v="400"/>
    <n v="30"/>
    <m/>
    <m/>
    <m/>
    <m/>
    <m/>
    <m/>
    <m/>
    <m/>
  </r>
  <r>
    <n v="2018"/>
    <x v="46"/>
    <n v="7.4"/>
    <s v="11.5M Views"/>
    <s v="R. Aguirre-Sacasa"/>
    <s v="Kiernan Shipka"/>
    <d v="2018-10-26T00:00:00"/>
    <s v="P1; 500 min"/>
    <s v="USA"/>
    <x v="41"/>
    <n v="500"/>
    <n v="11.5"/>
    <m/>
    <m/>
    <m/>
    <m/>
    <m/>
    <m/>
    <m/>
    <m/>
  </r>
  <r>
    <n v="2018"/>
    <x v="47"/>
    <n v="8.4"/>
    <s v="12.8M Views"/>
    <s v="Carlo Bernard"/>
    <s v="Michael Peña, Diego Luna"/>
    <d v="2018-11-16T00:00:00"/>
    <s v="S1; 550 min"/>
    <s v="USA/Mexico"/>
    <x v="11"/>
    <n v="550"/>
    <n v="12.8"/>
    <m/>
    <m/>
    <m/>
    <m/>
    <m/>
    <m/>
    <m/>
    <m/>
  </r>
  <r>
    <n v="2018"/>
    <x v="48"/>
    <n v="7.9"/>
    <s v="45M Views (S1)"/>
    <s v="Steve Blackman"/>
    <s v="Elliot Page"/>
    <d v="2019-02-15T00:00:00"/>
    <s v="S1; 600 min"/>
    <s v="USA"/>
    <x v="42"/>
    <n v="600"/>
    <n v="45"/>
    <m/>
    <m/>
    <m/>
    <m/>
    <m/>
    <m/>
    <m/>
    <m/>
  </r>
  <r>
    <n v="2018"/>
    <x v="49"/>
    <n v="7.7"/>
    <s v="40M Views (S1)"/>
    <s v="Greg Berlanti"/>
    <s v="Penn Badgley"/>
    <d v="2018-12-26T00:00:00"/>
    <s v="S1; 450 min"/>
    <s v="USA"/>
    <x v="43"/>
    <n v="450"/>
    <n v="40"/>
    <m/>
    <m/>
    <m/>
    <m/>
    <m/>
    <m/>
    <m/>
    <m/>
  </r>
  <r>
    <n v="2018"/>
    <x v="50"/>
    <n v="7.3"/>
    <s v="11.2M Views"/>
    <s v="Matt Sazama"/>
    <s v="Toby Stephens"/>
    <d v="2018-04-13T00:00:00"/>
    <s v="S1; 600 min"/>
    <s v="USA"/>
    <x v="44"/>
    <n v="600"/>
    <n v="11.2"/>
    <m/>
    <m/>
    <m/>
    <m/>
    <m/>
    <m/>
    <m/>
    <m/>
  </r>
  <r>
    <n v="2018"/>
    <x v="51"/>
    <n v="8.6"/>
    <s v="4.8M Views"/>
    <s v="Luke Pearson"/>
    <s v="Bella Ramsey"/>
    <d v="2018-09-21T00:00:00"/>
    <s v="S1; 300 min"/>
    <s v="UK/Canada"/>
    <x v="45"/>
    <n v="300"/>
    <n v="4.8"/>
    <m/>
    <m/>
    <m/>
    <m/>
    <m/>
    <m/>
    <m/>
    <m/>
  </r>
  <r>
    <n v="2018"/>
    <x v="52"/>
    <n v="7.2"/>
    <s v="7.1M Views"/>
    <s v="Matt Groening"/>
    <s v="Abbi Jacobson"/>
    <d v="2018-08-17T00:00:00"/>
    <s v="P1; 300 min"/>
    <s v="USA"/>
    <x v="27"/>
    <n v="300"/>
    <n v="7.1"/>
    <m/>
    <m/>
    <m/>
    <m/>
    <m/>
    <m/>
    <m/>
    <m/>
  </r>
  <r>
    <n v="2018"/>
    <x v="53"/>
    <n v="7.7"/>
    <s v="5.2M Views"/>
    <s v="Veena Sud"/>
    <s v="Clare-Hope Ashitey"/>
    <d v="2018-02-23T00:00:00"/>
    <s v="10 Eps; 600 min"/>
    <s v="USA"/>
    <x v="11"/>
    <n v="600"/>
    <n v="5.2"/>
    <m/>
    <m/>
    <m/>
    <m/>
    <m/>
    <m/>
    <m/>
    <m/>
  </r>
  <r>
    <n v="2018"/>
    <x v="54"/>
    <n v="8.6"/>
    <s v="4.8M Views"/>
    <s v="Glen Zipper"/>
    <s v="Documentary"/>
    <d v="2018-11-16T00:00:00"/>
    <s v="S1; 300 min"/>
    <s v="USA"/>
    <x v="14"/>
    <n v="300"/>
    <n v="4.8"/>
    <m/>
    <m/>
    <m/>
    <m/>
    <m/>
    <m/>
    <m/>
    <m/>
  </r>
  <r>
    <n v="2019"/>
    <x v="55"/>
    <n v="8"/>
    <s v="541M Hours (S1)"/>
    <s v="Lauren S. Hissrich"/>
    <s v="Henry Cavill, Anya Chalotra"/>
    <d v="2019-12-20T00:00:00"/>
    <s v="S1; 480 min"/>
    <s v="USA/Poland"/>
    <x v="46"/>
    <n v="480"/>
    <s v=""/>
    <m/>
    <m/>
    <m/>
    <m/>
    <m/>
    <m/>
    <m/>
    <m/>
  </r>
  <r>
    <n v="2019"/>
    <x v="56"/>
    <n v="8.6999999999999993"/>
    <s v="582M Hours"/>
    <s v="The Duffer Brothers"/>
    <s v="Millie Bobby Brown"/>
    <d v="2019-07-04T00:00:00"/>
    <s v="S3; 440 min"/>
    <s v="USA"/>
    <x v="1"/>
    <n v="440"/>
    <s v=""/>
    <m/>
    <m/>
    <m/>
    <m/>
    <m/>
    <m/>
    <m/>
    <m/>
  </r>
  <r>
    <n v="2019"/>
    <x v="48"/>
    <n v="7.9"/>
    <s v="45M Views"/>
    <s v="Steve Blackman"/>
    <s v="Elliot Page, Tom Hopper"/>
    <d v="2019-02-15T00:00:00"/>
    <s v="S1; 600 min"/>
    <s v="USA"/>
    <x v="42"/>
    <n v="600"/>
    <n v="45"/>
    <m/>
    <m/>
    <m/>
    <m/>
    <m/>
    <m/>
    <m/>
    <m/>
  </r>
  <r>
    <n v="2019"/>
    <x v="57"/>
    <n v="8.3000000000000007"/>
    <s v="40M Views (S1)"/>
    <s v="Laurie Nunn"/>
    <s v="Asa Butterfield, Gillian Anderson"/>
    <d v="2019-01-11T00:00:00"/>
    <s v="S1; 400 min"/>
    <s v="UK"/>
    <x v="31"/>
    <n v="400"/>
    <n v="40"/>
    <m/>
    <m/>
    <m/>
    <m/>
    <m/>
    <m/>
    <m/>
    <m/>
  </r>
  <r>
    <n v="2019"/>
    <x v="58"/>
    <n v="8.9"/>
    <s v="25M Views"/>
    <s v="Ava DuVernay"/>
    <s v="Jharrel Jerome, Asante Blackk"/>
    <d v="2019-05-31T00:00:00"/>
    <s v="4 Eps; 296 min"/>
    <s v="USA"/>
    <x v="47"/>
    <n v="296"/>
    <n v="25"/>
    <m/>
    <m/>
    <m/>
    <m/>
    <m/>
    <m/>
    <m/>
    <m/>
  </r>
  <r>
    <n v="2019"/>
    <x v="59"/>
    <n v="7.9"/>
    <s v="30M Views (S1)"/>
    <s v="Liz Feldman"/>
    <s v="Christina Applegate, Linda Cardellini"/>
    <d v="2019-05-03T00:00:00"/>
    <s v="S1; 300 min"/>
    <s v="USA"/>
    <x v="48"/>
    <n v="300"/>
    <n v="30"/>
    <m/>
    <m/>
    <m/>
    <m/>
    <m/>
    <m/>
    <m/>
    <m/>
  </r>
  <r>
    <n v="2019"/>
    <x v="60"/>
    <n v="8.4"/>
    <s v="18M Views (S1)"/>
    <s v="Ricky Gervais"/>
    <s v="Ricky Gervais"/>
    <d v="2019-03-08T00:00:00"/>
    <s v="S1; 180 min"/>
    <s v="UK"/>
    <x v="28"/>
    <n v="180"/>
    <n v="18"/>
    <m/>
    <m/>
    <m/>
    <m/>
    <m/>
    <m/>
    <m/>
    <m/>
  </r>
  <r>
    <n v="2019"/>
    <x v="61"/>
    <n v="8.3000000000000007"/>
    <s v="12M Views (S1)"/>
    <s v="Kim Seong-hun"/>
    <s v="Ju Ji-hoon"/>
    <d v="2019-01-25T00:00:00"/>
    <s v="S1; 300 min"/>
    <s v="South Korea"/>
    <x v="49"/>
    <n v="300"/>
    <n v="12"/>
    <m/>
    <m/>
    <m/>
    <m/>
    <m/>
    <m/>
    <m/>
    <m/>
  </r>
  <r>
    <n v="2019"/>
    <x v="62"/>
    <n v="8.4"/>
    <s v="44M Views"/>
    <s v="Susannah Grant"/>
    <s v="Toni Collette, Merritt Wever"/>
    <d v="2019-09-13T00:00:00"/>
    <s v="8 Eps; 400 min"/>
    <s v="USA"/>
    <x v="11"/>
    <n v="400"/>
    <n v="44"/>
    <m/>
    <m/>
    <m/>
    <m/>
    <m/>
    <m/>
    <m/>
    <m/>
  </r>
  <r>
    <n v="2019"/>
    <x v="63"/>
    <n v="7.7"/>
    <s v="12.5M Views"/>
    <s v="Natasha Lyonne"/>
    <s v="Natasha Lyonne"/>
    <d v="2019-02-01T00:00:00"/>
    <s v="S1; 200 min"/>
    <s v="USA"/>
    <x v="50"/>
    <n v="200"/>
    <n v="12.5"/>
    <m/>
    <m/>
    <m/>
    <m/>
    <m/>
    <m/>
    <m/>
    <m/>
  </r>
  <r>
    <n v="2019"/>
    <x v="64"/>
    <n v="9.3000000000000007"/>
    <s v="33M Views"/>
    <s v="Alastair Fothergill"/>
    <s v="David Attenborough"/>
    <d v="2019-04-05T00:00:00"/>
    <s v="8 Eps; 400 min"/>
    <s v="UK"/>
    <x v="51"/>
    <n v="400"/>
    <n v="33"/>
    <m/>
    <m/>
    <m/>
    <m/>
    <m/>
    <m/>
    <m/>
    <m/>
  </r>
  <r>
    <n v="2019"/>
    <x v="65"/>
    <n v="8.4"/>
    <s v="15M Views"/>
    <s v="Tim Miller"/>
    <s v="Anthology"/>
    <d v="2019-03-15T00:00:00"/>
    <s v="V1; 200 min"/>
    <s v="USA"/>
    <x v="52"/>
    <n v="200"/>
    <n v="15"/>
    <m/>
    <m/>
    <m/>
    <m/>
    <m/>
    <m/>
    <m/>
    <m/>
  </r>
  <r>
    <n v="2019"/>
    <x v="66"/>
    <n v="8.8000000000000007"/>
    <s v="30M Views (S5)"/>
    <s v="Steven Knight"/>
    <s v="Cillian Murphy"/>
    <d v="2019-10-04T00:00:00"/>
    <s v="S5; 360 min"/>
    <s v="UK"/>
    <x v="53"/>
    <n v="360"/>
    <n v="30"/>
    <m/>
    <m/>
    <m/>
    <m/>
    <m/>
    <m/>
    <m/>
    <m/>
  </r>
  <r>
    <n v="2019"/>
    <x v="67"/>
    <n v="7.6"/>
    <s v="7.4M Views"/>
    <s v="George Kay"/>
    <s v="David Tennant"/>
    <d v="2019-09-20T00:00:00"/>
    <s v="S1; 135 min"/>
    <s v="UK"/>
    <x v="54"/>
    <n v="135"/>
    <n v="7.4"/>
    <m/>
    <m/>
    <m/>
    <m/>
    <m/>
    <m/>
    <m/>
    <m/>
  </r>
  <r>
    <n v="2019"/>
    <x v="68"/>
    <n v="8.1999999999999993"/>
    <s v="6.5M Views"/>
    <s v="Aziz Ansari"/>
    <s v="Aziz Ansari"/>
    <d v="2021-05-23T00:00:00"/>
    <s v="S3; 150 min"/>
    <s v="USA"/>
    <x v="0"/>
    <n v="150"/>
    <n v="6.5"/>
    <m/>
    <m/>
    <m/>
    <m/>
    <m/>
    <m/>
    <m/>
    <m/>
  </r>
  <r>
    <n v="2019"/>
    <x v="20"/>
    <n v="7.5"/>
    <s v="35M Views (S3)"/>
    <s v="Brian Yorkey"/>
    <s v="Dylan Minnette"/>
    <d v="2019-08-23T00:00:00"/>
    <s v="S3; 780 min"/>
    <s v="USA"/>
    <x v="34"/>
    <n v="780"/>
    <n v="35"/>
    <m/>
    <m/>
    <m/>
    <m/>
    <m/>
    <m/>
    <m/>
    <m/>
  </r>
  <r>
    <n v="2019"/>
    <x v="69"/>
    <n v="8.5"/>
    <s v="10M Views (S3)"/>
    <s v="David Collins"/>
    <s v="Antoni Porowski"/>
    <d v="2019-03-15T00:00:00"/>
    <s v="S3; 360 min"/>
    <s v="USA"/>
    <x v="55"/>
    <n v="360"/>
    <n v="10"/>
    <m/>
    <m/>
    <m/>
    <m/>
    <m/>
    <m/>
    <m/>
    <m/>
  </r>
  <r>
    <n v="2019"/>
    <x v="70"/>
    <n v="7.9"/>
    <s v="8.3M Views (S1)"/>
    <s v="Laeta Kalogridis"/>
    <s v="Joel Kinnaman"/>
    <d v="2018-02-02T00:00:00"/>
    <s v="S1; 600 min"/>
    <s v="USA"/>
    <x v="56"/>
    <n v="600"/>
    <n v="8.3000000000000007"/>
    <m/>
    <m/>
    <m/>
    <m/>
    <m/>
    <m/>
    <m/>
    <m/>
  </r>
  <r>
    <n v="2019"/>
    <x v="50"/>
    <n v="7.3"/>
    <s v="11.2M Views (S2)"/>
    <s v="Matt Sazama"/>
    <s v="Toby Stephens"/>
    <d v="2019-12-24T00:00:00"/>
    <s v="S2; 550 min"/>
    <s v="USA"/>
    <x v="44"/>
    <n v="550"/>
    <n v="11.2"/>
    <m/>
    <m/>
    <m/>
    <m/>
    <m/>
    <m/>
    <m/>
    <m/>
  </r>
  <r>
    <n v="2019"/>
    <x v="71"/>
    <n v="8.1999999999999993"/>
    <s v="9.5M Views (S5)"/>
    <s v="Marta Kauffman"/>
    <s v="Jane Fonda, Lily Tomlin"/>
    <d v="2019-01-18T00:00:00"/>
    <s v="S5; 390 min"/>
    <s v="USA"/>
    <x v="30"/>
    <n v="390"/>
    <n v="9.5"/>
    <m/>
    <m/>
    <m/>
    <m/>
    <m/>
    <m/>
    <m/>
    <m/>
  </r>
  <r>
    <n v="2020"/>
    <x v="72"/>
    <n v="7.4"/>
    <s v="113.3M Views"/>
    <s v="Chris Van Dusen"/>
    <s v="Phoebe Dynevor, Regé-Jean Page"/>
    <d v="2020-12-25T00:00:00"/>
    <s v="S1; 492 min"/>
    <s v="USA"/>
    <x v="57"/>
    <n v="492"/>
    <n v="113.3"/>
    <m/>
    <m/>
    <m/>
    <m/>
    <m/>
    <m/>
    <m/>
    <m/>
  </r>
  <r>
    <n v="2020"/>
    <x v="73"/>
    <n v="8.6"/>
    <s v="112.8M Views"/>
    <s v="Scott Frank"/>
    <s v="Anya Taylor-Joy"/>
    <d v="2020-10-23T00:00:00"/>
    <s v="7 Eps; 393 min"/>
    <s v="USA"/>
    <x v="58"/>
    <n v="393"/>
    <n v="112.8"/>
    <m/>
    <m/>
    <m/>
    <m/>
    <m/>
    <m/>
    <m/>
    <m/>
  </r>
  <r>
    <n v="2020"/>
    <x v="74"/>
    <n v="7.5"/>
    <s v="64M Views"/>
    <s v="Eric Goode"/>
    <s v="Joe Exotic"/>
    <d v="2020-03-20T00:00:00"/>
    <s v="S1; 330 min"/>
    <s v="USA"/>
    <x v="59"/>
    <n v="330"/>
    <n v="64"/>
    <m/>
    <m/>
    <m/>
    <m/>
    <m/>
    <m/>
    <m/>
    <m/>
  </r>
  <r>
    <n v="2020"/>
    <x v="21"/>
    <n v="8.1999999999999993"/>
    <s v="619M Hours (P4)"/>
    <s v="Álex Pina"/>
    <s v="Álvaro Morte"/>
    <d v="2020-04-03T00:00:00"/>
    <s v="P4; 400 min"/>
    <s v="Spain"/>
    <x v="20"/>
    <n v="400"/>
    <s v=""/>
    <m/>
    <m/>
    <m/>
    <m/>
    <m/>
    <m/>
    <m/>
    <m/>
  </r>
  <r>
    <n v="2020"/>
    <x v="75"/>
    <n v="6.9"/>
    <s v="58M Views"/>
    <s v="Darren Star"/>
    <s v="Lily Collins"/>
    <d v="2020-10-02T00:00:00"/>
    <s v="S1; 300 min"/>
    <s v="USA/France"/>
    <x v="60"/>
    <n v="300"/>
    <n v="58"/>
    <m/>
    <m/>
    <m/>
    <m/>
    <m/>
    <m/>
    <m/>
    <m/>
  </r>
  <r>
    <n v="2020"/>
    <x v="76"/>
    <n v="7.5"/>
    <s v="45M Views"/>
    <s v="Josh Pate"/>
    <s v="Chase Stokes, Madelyn Cline"/>
    <d v="2020-04-15T00:00:00"/>
    <s v="S1; 500 min"/>
    <s v="USA"/>
    <x v="61"/>
    <n v="500"/>
    <n v="45"/>
    <m/>
    <m/>
    <m/>
    <m/>
    <m/>
    <m/>
    <m/>
    <m/>
  </r>
  <r>
    <n v="2020"/>
    <x v="77"/>
    <n v="6.2"/>
    <s v="18.8M Points"/>
    <s v="Chris Coelen"/>
    <s v="Nick Lachey"/>
    <d v="2020-02-13T00:00:00"/>
    <s v="S1; 600 min"/>
    <s v="USA"/>
    <x v="62"/>
    <n v="600"/>
    <s v=""/>
    <m/>
    <m/>
    <m/>
    <m/>
    <m/>
    <m/>
    <m/>
    <m/>
  </r>
  <r>
    <n v="2020"/>
    <x v="78"/>
    <n v="7.8"/>
    <s v="40M Views"/>
    <s v="Mindy Kaling"/>
    <s v="Maitreyi Ramakrishnan"/>
    <d v="2020-04-27T00:00:00"/>
    <s v="S1; 300 min"/>
    <s v="USA"/>
    <x v="31"/>
    <n v="300"/>
    <n v="40"/>
    <m/>
    <m/>
    <m/>
    <m/>
    <m/>
    <m/>
    <m/>
    <m/>
  </r>
  <r>
    <n v="2020"/>
    <x v="79"/>
    <n v="7.3"/>
    <s v="48M Views"/>
    <s v="Ryan Murphy"/>
    <s v="Sarah Paulson"/>
    <d v="2020-09-18T00:00:00"/>
    <s v="S1; 480 min"/>
    <s v="USA"/>
    <x v="63"/>
    <n v="480"/>
    <n v="48"/>
    <m/>
    <m/>
    <m/>
    <m/>
    <m/>
    <m/>
    <m/>
    <m/>
  </r>
  <r>
    <n v="2020"/>
    <x v="80"/>
    <n v="7.7"/>
    <s v="46.6M Views"/>
    <s v="Shinsuke Sato"/>
    <s v="Kento Yamazaki"/>
    <d v="2020-12-10T00:00:00"/>
    <s v="S1; 400 min"/>
    <s v="Japan"/>
    <x v="64"/>
    <n v="400"/>
    <n v="46.6"/>
    <m/>
    <m/>
    <m/>
    <m/>
    <m/>
    <m/>
    <m/>
    <m/>
  </r>
  <r>
    <n v="2020"/>
    <x v="48"/>
    <n v="7.9"/>
    <s v="43M Views (S2)"/>
    <s v="Steve Blackman"/>
    <s v="Elliot Page"/>
    <d v="2020-07-31T00:00:00"/>
    <s v="S2; 500 min"/>
    <s v="USA"/>
    <x v="42"/>
    <n v="500"/>
    <n v="43"/>
    <m/>
    <m/>
    <m/>
    <m/>
    <m/>
    <m/>
    <m/>
    <m/>
  </r>
  <r>
    <n v="2020"/>
    <x v="81"/>
    <n v="7.3"/>
    <s v="5.9M Points"/>
    <s v="Carlton Cuse"/>
    <s v="Darby Stanchfield"/>
    <d v="2020-02-07T00:00:00"/>
    <s v="S1; 500 min"/>
    <s v="USA"/>
    <x v="65"/>
    <n v="500"/>
    <s v=""/>
    <m/>
    <m/>
    <m/>
    <m/>
    <m/>
    <m/>
    <m/>
    <m/>
  </r>
  <r>
    <n v="2020"/>
    <x v="82"/>
    <n v="6.7"/>
    <s v="40M Views"/>
    <s v="Greg Daniels"/>
    <s v="Steve Carell"/>
    <d v="2020-05-29T00:00:00"/>
    <s v="S1; 300 min"/>
    <s v="USA"/>
    <x v="66"/>
    <n v="300"/>
    <n v="40"/>
    <m/>
    <m/>
    <m/>
    <m/>
    <m/>
    <m/>
    <m/>
    <m/>
  </r>
  <r>
    <n v="2020"/>
    <x v="83"/>
    <n v="4.3"/>
    <s v="61.4M Points"/>
    <s v="Jay Jeon"/>
    <s v="Animation"/>
    <d v="2020-06-01T00:00:00"/>
    <s v="S1; 180 min"/>
    <s v="USA"/>
    <x v="67"/>
    <n v="180"/>
    <s v=""/>
    <m/>
    <m/>
    <m/>
    <m/>
    <m/>
    <m/>
    <m/>
    <m/>
  </r>
  <r>
    <n v="2020"/>
    <x v="5"/>
    <n v="8.6"/>
    <s v="16.2B Minutes"/>
    <s v="Peter Morgan"/>
    <s v="Olivia Colman, Gillian Anderson"/>
    <d v="2020-11-15T00:00:00"/>
    <s v="S4; 550 min"/>
    <s v="UK"/>
    <x v="5"/>
    <n v="550"/>
    <s v=""/>
    <m/>
    <m/>
    <m/>
    <m/>
    <m/>
    <m/>
    <m/>
    <m/>
  </r>
  <r>
    <n v="2020"/>
    <x v="23"/>
    <n v="8.5"/>
    <s v="18B Minutes (S3)"/>
    <s v="Bill Dubuque"/>
    <s v="Jason Bateman, Laura Linney"/>
    <d v="2020-03-27T00:00:00"/>
    <s v="S3; 600 min"/>
    <s v="USA"/>
    <x v="11"/>
    <n v="600"/>
    <s v=""/>
    <m/>
    <m/>
    <m/>
    <m/>
    <m/>
    <m/>
    <m/>
    <m/>
  </r>
  <r>
    <n v="2020"/>
    <x v="57"/>
    <n v="8.3000000000000007"/>
    <s v="35M Views (S2)"/>
    <s v="Laurie Nunn"/>
    <s v="Asa Butterfield"/>
    <d v="2020-01-17T00:00:00"/>
    <s v="S2; 400 min"/>
    <s v="UK"/>
    <x v="31"/>
    <n v="400"/>
    <n v="35"/>
    <m/>
    <m/>
    <m/>
    <m/>
    <m/>
    <m/>
    <m/>
    <m/>
  </r>
  <r>
    <n v="2020"/>
    <x v="84"/>
    <n v="7.3"/>
    <s v="6.0M Points"/>
    <s v="Sheryl J. Anderson"/>
    <s v="JoAnna Garcia Swisher"/>
    <d v="2020-05-19T00:00:00"/>
    <s v="S1; 500 min"/>
    <s v="USA"/>
    <x v="68"/>
    <n v="500"/>
    <s v=""/>
    <m/>
    <m/>
    <m/>
    <m/>
    <m/>
    <m/>
    <m/>
    <m/>
  </r>
  <r>
    <n v="2020"/>
    <x v="85"/>
    <n v="8"/>
    <s v="52M Views"/>
    <s v="Anna Winger"/>
    <s v="Shira Haas"/>
    <d v="2020-03-26T00:00:00"/>
    <s v="4 Eps; 213 min"/>
    <s v="Germany"/>
    <x v="69"/>
    <n v="213"/>
    <n v="52"/>
    <m/>
    <m/>
    <m/>
    <m/>
    <m/>
    <m/>
    <m/>
    <m/>
  </r>
  <r>
    <n v="2020"/>
    <x v="86"/>
    <n v="8.5"/>
    <s v="15B Minutes (S6)"/>
    <s v="Dan Levy"/>
    <s v="Eugene Levy, Catherine O'Hara"/>
    <d v="2020-05-14T00:00:00"/>
    <s v="S6; 320 min"/>
    <s v="Canada"/>
    <x v="70"/>
    <n v="320"/>
    <s v=""/>
    <m/>
    <m/>
    <m/>
    <m/>
    <m/>
    <m/>
    <m/>
    <m/>
  </r>
  <r>
    <n v="2021"/>
    <x v="87"/>
    <n v="8"/>
    <s v="265.2M Views"/>
    <s v="Hwang Dong-hyuk"/>
    <s v="Lee Jung-jae, Jung Ho-yeon"/>
    <d v="2021-09-17T00:00:00"/>
    <s v="S1; 485 min"/>
    <s v="South Korea"/>
    <x v="71"/>
    <n v="485"/>
    <n v="265.2"/>
    <m/>
    <m/>
    <m/>
    <m/>
    <m/>
    <m/>
    <m/>
    <m/>
  </r>
  <r>
    <n v="2021"/>
    <x v="88"/>
    <n v="7.5"/>
    <s v="76M Views (P1)"/>
    <s v="George Kay"/>
    <s v="Omar Sy"/>
    <d v="2021-01-08T00:00:00"/>
    <s v="P1; 225 min"/>
    <s v="France"/>
    <x v="72"/>
    <n v="225"/>
    <n v="76"/>
    <m/>
    <m/>
    <m/>
    <m/>
    <m/>
    <m/>
    <m/>
    <m/>
  </r>
  <r>
    <n v="2021"/>
    <x v="89"/>
    <n v="8.3000000000000007"/>
    <s v="67M Views"/>
    <s v="Molly Smith Metzler"/>
    <s v="Margaret Qualley"/>
    <d v="2021-10-01T00:00:00"/>
    <s v="10 Eps; 544 min"/>
    <s v="USA"/>
    <x v="69"/>
    <n v="544"/>
    <n v="67"/>
    <m/>
    <m/>
    <m/>
    <m/>
    <m/>
    <m/>
    <m/>
    <m/>
  </r>
  <r>
    <n v="2021"/>
    <x v="90"/>
    <n v="5.5"/>
    <s v="67M Views"/>
    <s v="Stacy Rukeyser"/>
    <s v="Sarah Shahi, Mike Vogel"/>
    <d v="2021-06-25T00:00:00"/>
    <s v="S1; 400 min"/>
    <s v="USA"/>
    <x v="73"/>
    <n v="400"/>
    <n v="67"/>
    <m/>
    <m/>
    <m/>
    <m/>
    <m/>
    <m/>
    <m/>
    <m/>
  </r>
  <r>
    <n v="2021"/>
    <x v="21"/>
    <n v="8.1999999999999993"/>
    <s v="792M Hours (P5)"/>
    <s v="Álex Pina"/>
    <s v="Álvaro Morte"/>
    <d v="2021-09-03T00:00:00"/>
    <s v="P5; 450 min"/>
    <s v="Spain"/>
    <x v="20"/>
    <n v="450"/>
    <s v=""/>
    <m/>
    <m/>
    <m/>
    <m/>
    <m/>
    <m/>
    <m/>
    <m/>
  </r>
  <r>
    <n v="2021"/>
    <x v="91"/>
    <n v="7.7"/>
    <s v="60M Views"/>
    <s v="Jim Mickle"/>
    <s v="Christian Convery"/>
    <d v="2021-06-04T00:00:00"/>
    <s v="S1; 400 min"/>
    <s v="USA"/>
    <x v="46"/>
    <n v="400"/>
    <n v="60"/>
    <m/>
    <m/>
    <m/>
    <m/>
    <m/>
    <m/>
    <m/>
    <m/>
  </r>
  <r>
    <n v="2021"/>
    <x v="92"/>
    <n v="7.5"/>
    <s v="118.2M Views (S1)"/>
    <s v="Sarah Lampert"/>
    <s v="Brianne Howey"/>
    <d v="2021-02-24T00:00:00"/>
    <s v="S1; 587 min"/>
    <s v="USA"/>
    <x v="33"/>
    <n v="587"/>
    <n v="118.2"/>
    <m/>
    <m/>
    <m/>
    <m/>
    <m/>
    <m/>
    <m/>
    <m/>
  </r>
  <r>
    <n v="2021"/>
    <x v="93"/>
    <n v="6.8"/>
    <s v="57M Views"/>
    <s v="Brian Young"/>
    <s v="Abigail Cowen"/>
    <d v="2021-01-22T00:00:00"/>
    <s v="S1; 300 min"/>
    <s v="UK/Italy"/>
    <x v="74"/>
    <n v="300"/>
    <n v="57"/>
    <m/>
    <m/>
    <m/>
    <m/>
    <m/>
    <m/>
    <m/>
    <m/>
  </r>
  <r>
    <n v="2021"/>
    <x v="94"/>
    <n v="7.5"/>
    <s v="55M Views"/>
    <s v="Eric Heisserer"/>
    <s v="Jessie Mei Li, Ben Barnes"/>
    <d v="2021-04-23T00:00:00"/>
    <s v="S1; 400 min"/>
    <s v="USA"/>
    <x v="46"/>
    <n v="400"/>
    <n v="55"/>
    <m/>
    <m/>
    <m/>
    <m/>
    <m/>
    <m/>
    <m/>
    <m/>
  </r>
  <r>
    <n v="2021"/>
    <x v="57"/>
    <n v="8.3000000000000007"/>
    <s v="55M Views (S3)"/>
    <s v="Laurie Nunn"/>
    <s v="Asa Butterfield"/>
    <d v="2021-09-17T00:00:00"/>
    <s v="S3; 450 min"/>
    <s v="UK"/>
    <x v="31"/>
    <n v="450"/>
    <n v="55"/>
    <m/>
    <m/>
    <m/>
    <m/>
    <m/>
    <m/>
    <m/>
    <m/>
  </r>
  <r>
    <n v="2021"/>
    <x v="95"/>
    <n v="9"/>
    <s v="120M Hours"/>
    <s v="Christian Linke"/>
    <s v="Hailee Steinfeld"/>
    <d v="2021-11-06T00:00:00"/>
    <s v="S1; 360 min"/>
    <s v="USA/France"/>
    <x v="75"/>
    <n v="360"/>
    <s v=""/>
    <m/>
    <m/>
    <m/>
    <m/>
    <m/>
    <m/>
    <m/>
    <m/>
  </r>
  <r>
    <n v="2021"/>
    <x v="96"/>
    <n v="7.2"/>
    <s v="52M Views"/>
    <s v="Tony Ayres"/>
    <s v="Adrian Grenier"/>
    <d v="2021-08-25T00:00:00"/>
    <s v="8 Eps; 353 min"/>
    <s v="Australia/USA"/>
    <x v="72"/>
    <n v="353"/>
    <n v="52"/>
    <m/>
    <m/>
    <m/>
    <m/>
    <m/>
    <m/>
    <m/>
    <m/>
  </r>
  <r>
    <n v="2021"/>
    <x v="97"/>
    <n v="7.7"/>
    <s v="12.1M Views"/>
    <s v="Mike Flanagan"/>
    <s v="Zach Gilford, Hamish Linklater"/>
    <d v="2021-09-24T00:00:00"/>
    <s v="7 Eps; 440 min"/>
    <s v="USA"/>
    <x v="76"/>
    <n v="440"/>
    <n v="12.1"/>
    <m/>
    <m/>
    <m/>
    <m/>
    <m/>
    <m/>
    <m/>
    <m/>
  </r>
  <r>
    <n v="2021"/>
    <x v="98"/>
    <n v="6.6"/>
    <s v="142M Hours"/>
    <s v="Yeon Sang-ho"/>
    <s v="Yoo Ah-in"/>
    <d v="2021-11-19T00:00:00"/>
    <s v="S1; 300 min"/>
    <s v="South Korea"/>
    <x v="77"/>
    <n v="300"/>
    <s v=""/>
    <m/>
    <m/>
    <m/>
    <m/>
    <m/>
    <m/>
    <m/>
    <m/>
  </r>
  <r>
    <n v="2021"/>
    <x v="99"/>
    <n v="7.8"/>
    <s v="3.1M Points"/>
    <s v="Kim Jin-min"/>
    <s v="Han So-hee"/>
    <d v="2021-10-15T00:00:00"/>
    <s v="1 Season; 400 min"/>
    <s v="South Korea"/>
    <x v="78"/>
    <n v="400"/>
    <s v=""/>
    <m/>
    <m/>
    <m/>
    <m/>
    <m/>
    <m/>
    <m/>
    <m/>
  </r>
  <r>
    <n v="2021"/>
    <x v="100"/>
    <n v="8.1999999999999993"/>
    <s v="3.2M Points"/>
    <s v="Han Jun-hee"/>
    <s v="Jung Hae-in"/>
    <d v="2021-08-27T00:00:00"/>
    <s v="S1; 300 min"/>
    <s v="South Korea"/>
    <x v="79"/>
    <n v="300"/>
    <s v=""/>
    <m/>
    <m/>
    <m/>
    <m/>
    <m/>
    <m/>
    <m/>
    <m/>
  </r>
  <r>
    <n v="2021"/>
    <x v="101"/>
    <n v="7.6"/>
    <s v="31M Views"/>
    <s v="Richard Warlow"/>
    <s v="Tahar Rahim, Jenna Coleman"/>
    <d v="2021-01-01T00:00:00"/>
    <s v="8 Eps; 464 min"/>
    <s v="UK"/>
    <x v="80"/>
    <n v="464"/>
    <n v="31"/>
    <m/>
    <m/>
    <m/>
    <m/>
    <m/>
    <m/>
    <m/>
    <m/>
  </r>
  <r>
    <n v="2021"/>
    <x v="102"/>
    <n v="7.2"/>
    <s v="38M Views"/>
    <s v="Steve Lightfoot"/>
    <s v="Simona Brown, Eve Hewson"/>
    <d v="2021-02-17T00:00:00"/>
    <s v="6 Eps; 300 min"/>
    <s v="UK"/>
    <x v="63"/>
    <n v="300"/>
    <n v="38"/>
    <m/>
    <m/>
    <m/>
    <m/>
    <m/>
    <m/>
    <m/>
    <m/>
  </r>
  <r>
    <n v="2021"/>
    <x v="103"/>
    <n v="6.7"/>
    <s v="25M Views"/>
    <s v="Christopher Yost"/>
    <s v="John Cho"/>
    <d v="2021-11-19T00:00:00"/>
    <s v="S1; 500 min"/>
    <s v="USA"/>
    <x v="81"/>
    <n v="500"/>
    <n v="25"/>
    <m/>
    <m/>
    <m/>
    <m/>
    <m/>
    <m/>
    <m/>
    <m/>
  </r>
  <r>
    <n v="2021"/>
    <x v="104"/>
    <n v="7.3"/>
    <s v="7,967 Points"/>
    <s v="Rebecca Sonnenshine"/>
    <s v="Mamoudou Athie"/>
    <d v="2022-01-14T00:00:00"/>
    <s v="S1; 400 min"/>
    <s v="USA"/>
    <x v="82"/>
    <n v="400"/>
    <s v=""/>
    <m/>
    <m/>
    <m/>
    <m/>
    <m/>
    <m/>
    <m/>
    <m/>
  </r>
  <r>
    <n v="2022"/>
    <x v="105"/>
    <n v="8.1"/>
    <s v="252.1M Views"/>
    <s v="Tim Burton"/>
    <s v="Jenna Ortega"/>
    <d v="2022-11-23T00:00:00"/>
    <s v="S1; 409 min"/>
    <s v="USA"/>
    <x v="83"/>
    <n v="409"/>
    <n v="252.1"/>
    <m/>
    <m/>
    <m/>
    <m/>
    <m/>
    <m/>
    <m/>
    <m/>
  </r>
  <r>
    <n v="2022"/>
    <x v="106"/>
    <n v="8.6999999999999993"/>
    <s v="140.7M Views"/>
    <s v="The Duffer Brothers"/>
    <s v="Millie Bobby Brown"/>
    <d v="2022-05-27T00:00:00"/>
    <s v="9 Eps; 784 min"/>
    <s v="USA"/>
    <x v="1"/>
    <n v="784"/>
    <n v="140.69999999999999"/>
    <m/>
    <m/>
    <m/>
    <m/>
    <m/>
    <m/>
    <m/>
    <m/>
  </r>
  <r>
    <n v="2022"/>
    <x v="107"/>
    <n v="7.9"/>
    <s v="115.6M Views"/>
    <s v="Ryan Murphy"/>
    <s v="Evan Peters"/>
    <d v="2022-09-21T00:00:00"/>
    <s v="10 Eps; 535 min"/>
    <s v="USA"/>
    <x v="84"/>
    <n v="535"/>
    <n v="115.6"/>
    <m/>
    <m/>
    <m/>
    <m/>
    <m/>
    <m/>
    <m/>
    <m/>
  </r>
  <r>
    <n v="2022"/>
    <x v="108"/>
    <n v="7.5"/>
    <s v="679M Hours"/>
    <s v="Lee JQ"/>
    <s v="Park Ji-hu"/>
    <d v="2022-01-28T00:00:00"/>
    <s v="S1; 709 min"/>
    <s v="South Korea"/>
    <x v="85"/>
    <n v="709"/>
    <s v=""/>
    <m/>
    <m/>
    <m/>
    <m/>
    <m/>
    <m/>
    <m/>
    <m/>
  </r>
  <r>
    <n v="2022"/>
    <x v="109"/>
    <n v="6.8"/>
    <s v="511M Hours"/>
    <s v="Shonda Rhimes"/>
    <s v="Julia Garner"/>
    <d v="2022-02-11T00:00:00"/>
    <s v="9 Eps; 602 min"/>
    <s v="USA"/>
    <x v="80"/>
    <n v="602"/>
    <s v=""/>
    <m/>
    <m/>
    <m/>
    <m/>
    <m/>
    <m/>
    <m/>
    <m/>
  </r>
  <r>
    <n v="2022"/>
    <x v="23"/>
    <n v="8.5"/>
    <s v="491M Hours (S4)"/>
    <s v="Bill Dubuque"/>
    <s v="Jason Bateman"/>
    <d v="2022-01-21T00:00:00"/>
    <s v="S4; 600 min"/>
    <s v="USA"/>
    <x v="11"/>
    <n v="600"/>
    <s v=""/>
    <m/>
    <m/>
    <m/>
    <m/>
    <m/>
    <m/>
    <m/>
    <m/>
  </r>
  <r>
    <n v="2022"/>
    <x v="110"/>
    <n v="7.4"/>
    <s v="656M Hours"/>
    <s v="Shonda Rhimes"/>
    <s v="Jonathan Bailey, Simone Ashley"/>
    <d v="2022-03-25T00:00:00"/>
    <s v="8 Eps; 510 min"/>
    <s v="USA"/>
    <x v="57"/>
    <n v="510"/>
    <s v=""/>
    <m/>
    <m/>
    <m/>
    <m/>
    <m/>
    <m/>
    <m/>
    <m/>
  </r>
  <r>
    <n v="2022"/>
    <x v="111"/>
    <n v="7.7"/>
    <s v="396M Hours"/>
    <s v="Neil Gaiman"/>
    <s v="Tom Sturridge"/>
    <d v="2022-08-05T00:00:00"/>
    <s v="S1; 574 min"/>
    <s v="USA/UK"/>
    <x v="46"/>
    <n v="574"/>
    <s v=""/>
    <m/>
    <m/>
    <m/>
    <m/>
    <m/>
    <m/>
    <m/>
    <m/>
  </r>
  <r>
    <n v="2022"/>
    <x v="112"/>
    <n v="8.6"/>
    <s v="402M Hours"/>
    <s v="Yoo In-shik"/>
    <s v="Park Eun-bin"/>
    <d v="2022-06-29T00:00:00"/>
    <s v="S1; 1120 min"/>
    <s v="South Korea"/>
    <x v="86"/>
    <n v="1120"/>
    <s v=""/>
    <m/>
    <m/>
    <m/>
    <m/>
    <m/>
    <m/>
    <m/>
    <m/>
  </r>
  <r>
    <n v="2022"/>
    <x v="113"/>
    <n v="7.1"/>
    <s v="53,337 Points"/>
    <s v="Jeff Rake"/>
    <s v="Melissa Roxburgh"/>
    <d v="2022-11-04T00:00:00"/>
    <s v="S4; 500 min"/>
    <s v="USA"/>
    <x v="83"/>
    <n v="500"/>
    <s v=""/>
    <m/>
    <m/>
    <m/>
    <m/>
    <m/>
    <m/>
    <m/>
    <m/>
  </r>
  <r>
    <n v="2022"/>
    <x v="114"/>
    <n v="6.5"/>
    <s v="79.6M Views"/>
    <s v="Ryan Murphy"/>
    <s v="Naomi Watts"/>
    <d v="2022-10-13T00:00:00"/>
    <s v="S1; 342 min"/>
    <s v="USA"/>
    <x v="87"/>
    <n v="342"/>
    <n v="79.599999999999994"/>
    <m/>
    <m/>
    <m/>
    <m/>
    <m/>
    <m/>
    <m/>
    <m/>
  </r>
  <r>
    <n v="2022"/>
    <x v="115"/>
    <n v="8.6"/>
    <s v="5M Views"/>
    <s v="Alice Oseman"/>
    <s v="Kit Connor, Joe Locke"/>
    <d v="2022-04-22T00:00:00"/>
    <s v="S1; 240 min"/>
    <s v="UK"/>
    <x v="88"/>
    <n v="240"/>
    <n v="5"/>
    <m/>
    <m/>
    <m/>
    <m/>
    <m/>
    <m/>
    <m/>
    <m/>
  </r>
  <r>
    <n v="2022"/>
    <x v="116"/>
    <n v="7.3"/>
    <s v="245M Hours"/>
    <s v="Baran bo Odar"/>
    <s v="Emily Beecham"/>
    <d v="2022-11-17T00:00:00"/>
    <s v="S1; 400 min"/>
    <s v="Germany"/>
    <x v="24"/>
    <n v="400"/>
    <s v=""/>
    <m/>
    <m/>
    <m/>
    <m/>
    <m/>
    <m/>
    <m/>
    <m/>
  </r>
  <r>
    <n v="2022"/>
    <x v="117"/>
    <n v="7"/>
    <s v="6,322 Points"/>
    <s v="G. del Toro"/>
    <s v="Anthology"/>
    <d v="2022-10-25T00:00:00"/>
    <s v="1 Season; 400 min"/>
    <s v="USA"/>
    <x v="89"/>
    <n v="400"/>
    <s v=""/>
    <m/>
    <m/>
    <m/>
    <m/>
    <m/>
    <m/>
    <m/>
    <m/>
  </r>
  <r>
    <n v="2022"/>
    <x v="118"/>
    <n v="7.8"/>
    <s v="10,181 Points"/>
    <s v="Katharina Eyssen"/>
    <s v="Devrim Lingnau"/>
    <d v="2022-09-29T00:00:00"/>
    <s v="S1; 360 min"/>
    <s v="Germany"/>
    <x v="58"/>
    <n v="360"/>
    <s v=""/>
    <m/>
    <m/>
    <m/>
    <m/>
    <m/>
    <m/>
    <m/>
    <m/>
  </r>
  <r>
    <n v="2022"/>
    <x v="119"/>
    <n v="8.5"/>
    <s v="6,226 Points"/>
    <s v="Kim Hyung-sik"/>
    <s v="Kim Hye-soo"/>
    <d v="2022-10-15T00:00:00"/>
    <s v="1 Season; 960 min"/>
    <s v="South Korea"/>
    <x v="17"/>
    <n v="960"/>
    <s v=""/>
    <m/>
    <m/>
    <m/>
    <m/>
    <m/>
    <m/>
    <m/>
    <m/>
  </r>
  <r>
    <n v="2022"/>
    <x v="120"/>
    <n v="8.1"/>
    <s v="9,596 Points"/>
    <s v="Kim Hee-won"/>
    <s v="Kim Go-eun"/>
    <d v="2022-09-03T00:00:00"/>
    <s v="1 Season; 720 min"/>
    <s v="South Korea"/>
    <x v="90"/>
    <n v="720"/>
    <s v=""/>
    <m/>
    <m/>
    <m/>
    <m/>
    <m/>
    <m/>
    <m/>
    <m/>
  </r>
  <r>
    <n v="2022"/>
    <x v="121"/>
    <n v="8.6999999999999993"/>
    <s v="12.4M Points"/>
    <s v="Park Joon-hwa"/>
    <s v="Lee Jae-wook"/>
    <d v="2022-06-18T00:00:00"/>
    <s v="2 Parts; 1800 min"/>
    <s v="South Korea"/>
    <x v="91"/>
    <n v="1800"/>
    <s v=""/>
    <m/>
    <m/>
    <m/>
    <m/>
    <m/>
    <m/>
    <m/>
    <m/>
  </r>
  <r>
    <n v="2022"/>
    <x v="122"/>
    <n v="7.5"/>
    <s v="7,823 Points"/>
    <s v="Alexi Hawley"/>
    <s v="Noah Centineo"/>
    <d v="2022-12-16T00:00:00"/>
    <s v="S1; 400 min"/>
    <s v="USA"/>
    <x v="92"/>
    <n v="400"/>
    <s v=""/>
    <m/>
    <m/>
    <m/>
    <m/>
    <m/>
    <m/>
    <m/>
    <m/>
  </r>
  <r>
    <n v="2022"/>
    <x v="123"/>
    <n v="5.9"/>
    <s v="7,847 Points"/>
    <s v="Daria Polatin"/>
    <s v="Emily Deschanel"/>
    <d v="2022-09-02T00:00:00"/>
    <s v="8 Eps; 360 min"/>
    <s v="USA"/>
    <x v="82"/>
    <n v="360"/>
    <s v=""/>
    <m/>
    <m/>
    <m/>
    <m/>
    <m/>
    <m/>
    <m/>
    <m/>
  </r>
  <r>
    <n v="2023"/>
    <x v="124"/>
    <n v="7.5"/>
    <s v="99.2M Views"/>
    <s v="Shawn Ryan"/>
    <s v="Gabriel Basso"/>
    <d v="2023-03-23T00:00:00"/>
    <s v="S1; 491 min"/>
    <s v="USA"/>
    <x v="93"/>
    <n v="491"/>
    <n v="99.2"/>
    <m/>
    <m/>
    <m/>
    <m/>
    <m/>
    <m/>
    <m/>
    <m/>
  </r>
  <r>
    <n v="2023"/>
    <x v="125"/>
    <n v="8.3000000000000007"/>
    <s v="71.6M Views"/>
    <s v="Matt Owens"/>
    <s v="Iñaki Godoy"/>
    <d v="2023-08-31T00:00:00"/>
    <s v="S1; 451 min"/>
    <s v="USA/Japan"/>
    <x v="94"/>
    <n v="451"/>
    <n v="71.599999999999994"/>
    <m/>
    <m/>
    <m/>
    <m/>
    <m/>
    <m/>
    <m/>
    <m/>
  </r>
  <r>
    <n v="2023"/>
    <x v="126"/>
    <n v="7.4"/>
    <s v="77.6M Views"/>
    <s v="Shonda Rhimes"/>
    <s v="India Amarteifio"/>
    <d v="2023-05-04T00:00:00"/>
    <s v="6 Eps; 389 min"/>
    <s v="USA"/>
    <x v="95"/>
    <n v="389"/>
    <n v="77.599999999999994"/>
    <m/>
    <m/>
    <m/>
    <m/>
    <m/>
    <m/>
    <m/>
    <m/>
  </r>
  <r>
    <n v="2023"/>
    <x v="127"/>
    <n v="8.1"/>
    <s v="43.7M Views"/>
    <s v="Kim Eun-sook"/>
    <s v="Song Hye-kyo"/>
    <d v="2022-12-30T00:00:00"/>
    <s v="P1/2; 856 min"/>
    <s v="South Korea"/>
    <x v="96"/>
    <n v="856"/>
    <n v="43.7"/>
    <m/>
    <m/>
    <m/>
    <m/>
    <m/>
    <m/>
    <m/>
    <m/>
  </r>
  <r>
    <n v="2023"/>
    <x v="128"/>
    <n v="8"/>
    <s v="52.1M Views"/>
    <s v="Deborah Cahn"/>
    <s v="Keri Russell"/>
    <d v="2023-04-20T00:00:00"/>
    <s v="S1; 400 min"/>
    <s v="USA"/>
    <x v="97"/>
    <n v="400"/>
    <n v="52.1"/>
    <m/>
    <m/>
    <m/>
    <m/>
    <m/>
    <m/>
    <m/>
    <m/>
  </r>
  <r>
    <n v="2023"/>
    <x v="129"/>
    <n v="7.5"/>
    <s v="68M Views"/>
    <s v="Sarah Lampert"/>
    <s v="Brianne Howey"/>
    <d v="2023-01-05T00:00:00"/>
    <s v="S2; 587 min"/>
    <s v="USA"/>
    <x v="33"/>
    <n v="587"/>
    <n v="68"/>
    <m/>
    <m/>
    <m/>
    <m/>
    <m/>
    <m/>
    <m/>
    <m/>
  </r>
  <r>
    <n v="2023"/>
    <x v="130"/>
    <n v="7.7"/>
    <s v="53.2M Views"/>
    <s v="Sera Gamble"/>
    <s v="Penn Badgley"/>
    <d v="2023-02-09T00:00:00"/>
    <s v="S4; 497 min"/>
    <s v="USA"/>
    <x v="43"/>
    <n v="497"/>
    <n v="53.2"/>
    <m/>
    <m/>
    <m/>
    <m/>
    <m/>
    <m/>
    <m/>
    <m/>
  </r>
  <r>
    <n v="2023"/>
    <x v="131"/>
    <n v="7.5"/>
    <s v="45.3M Views"/>
    <s v="Josh Pate"/>
    <s v="Chase Stokes"/>
    <d v="2023-02-23T00:00:00"/>
    <s v="S3; 533 min"/>
    <s v="USA"/>
    <x v="61"/>
    <n v="533"/>
    <n v="45.3"/>
    <m/>
    <m/>
    <m/>
    <m/>
    <m/>
    <m/>
    <m/>
    <m/>
  </r>
  <r>
    <n v="2023"/>
    <x v="132"/>
    <n v="8.1"/>
    <s v="43.9M Views"/>
    <s v="Fisher Stevens"/>
    <s v="David Beckham"/>
    <d v="2023-10-04T00:00:00"/>
    <s v="4 Eps; 288 min"/>
    <s v="UK"/>
    <x v="35"/>
    <n v="288"/>
    <n v="43.9"/>
    <m/>
    <m/>
    <m/>
    <m/>
    <m/>
    <m/>
    <m/>
    <m/>
  </r>
  <r>
    <n v="2023"/>
    <x v="133"/>
    <n v="7.3"/>
    <s v="50.9M Views"/>
    <s v="Isabel Kleefeld"/>
    <s v="Kim Riedle"/>
    <d v="2023-09-07T00:00:00"/>
    <s v="6 Eps; 288 min"/>
    <s v="Germany"/>
    <x v="98"/>
    <n v="288"/>
    <n v="50.9"/>
    <m/>
    <m/>
    <m/>
    <m/>
    <m/>
    <m/>
    <m/>
    <m/>
  </r>
  <r>
    <n v="2023"/>
    <x v="134"/>
    <n v="7"/>
    <s v="56.7M Views"/>
    <s v="Álex Pina"/>
    <s v="Pedro Alonso"/>
    <d v="2023-12-29T00:00:00"/>
    <s v="S1; 424 min"/>
    <s v="Spain"/>
    <x v="99"/>
    <n v="424"/>
    <n v="56.7"/>
    <m/>
    <m/>
    <m/>
    <m/>
    <m/>
    <m/>
    <m/>
    <m/>
  </r>
  <r>
    <n v="2023"/>
    <x v="135"/>
    <n v="7.3"/>
    <s v="15.3M Views"/>
    <s v="Paul Tomalin"/>
    <s v="Stephen Graham"/>
    <d v="2023-10-19T00:00:00"/>
    <s v="8 Eps; 480 min"/>
    <s v="UK"/>
    <x v="100"/>
    <n v="480"/>
    <n v="15.3"/>
    <m/>
    <m/>
    <m/>
    <m/>
    <m/>
    <m/>
    <m/>
    <m/>
  </r>
  <r>
    <n v="2023"/>
    <x v="136"/>
    <n v="8.6999999999999993"/>
    <s v="15M Views"/>
    <s v="Michael Green"/>
    <s v="Maya Erskine"/>
    <d v="2023-11-03T00:00:00"/>
    <s v="S1; 360 min"/>
    <s v="USA"/>
    <x v="75"/>
    <n v="360"/>
    <n v="15"/>
    <m/>
    <m/>
    <m/>
    <m/>
    <m/>
    <m/>
    <m/>
    <m/>
  </r>
  <r>
    <n v="2023"/>
    <x v="137"/>
    <n v="8"/>
    <s v="15.5M Views"/>
    <s v="Lee Sung Jin"/>
    <s v="Steven Yeun, Ali Wong"/>
    <d v="2023-04-06T00:00:00"/>
    <s v="S1; 346 min"/>
    <s v="USA"/>
    <x v="101"/>
    <n v="346"/>
    <n v="15.5"/>
    <m/>
    <m/>
    <m/>
    <m/>
    <m/>
    <m/>
    <m/>
    <m/>
  </r>
  <r>
    <n v="2023"/>
    <x v="138"/>
    <n v="6.2"/>
    <s v="21M Views"/>
    <s v="Chris Coelen"/>
    <s v="Reality"/>
    <d v="2023-03-24T00:00:00"/>
    <s v="S4; 600 min"/>
    <s v="USA"/>
    <x v="62"/>
    <n v="600"/>
    <n v="21"/>
    <m/>
    <m/>
    <m/>
    <m/>
    <m/>
    <m/>
    <m/>
    <m/>
  </r>
  <r>
    <n v="2023"/>
    <x v="139"/>
    <n v="8.6999999999999993"/>
    <s v="31M Views"/>
    <s v="Charlie Brooker"/>
    <s v="Aaron Paul"/>
    <d v="2023-06-15T00:00:00"/>
    <s v="5 Eps; 300 min"/>
    <s v="UK"/>
    <x v="52"/>
    <n v="300"/>
    <n v="31"/>
    <m/>
    <m/>
    <m/>
    <m/>
    <m/>
    <m/>
    <m/>
    <m/>
  </r>
  <r>
    <n v="2023"/>
    <x v="140"/>
    <n v="5.6"/>
    <s v="20M Views"/>
    <s v="Pablo Illanes"/>
    <s v="Carolina Miranda"/>
    <d v="2023-05-31T00:00:00"/>
    <s v="S1; 450 min"/>
    <s v="Colombia"/>
    <x v="102"/>
    <n v="450"/>
    <n v="20"/>
    <m/>
    <m/>
    <m/>
    <m/>
    <m/>
    <m/>
    <m/>
    <m/>
  </r>
  <r>
    <n v="2023"/>
    <x v="141"/>
    <n v="7.7"/>
    <s v="17.7M Views"/>
    <s v="Choi Ah-il"/>
    <s v="Kim Yoo-jung"/>
    <d v="2023-11-24T00:00:00"/>
    <s v="S1; 1055 min"/>
    <s v="South Korea"/>
    <x v="103"/>
    <n v="1055"/>
    <n v="17.7"/>
    <m/>
    <m/>
    <m/>
    <m/>
    <m/>
    <m/>
    <m/>
    <m/>
  </r>
  <r>
    <n v="2023"/>
    <x v="142"/>
    <n v="8.1"/>
    <s v="12.1M Views"/>
    <s v="Lesley Chilcott"/>
    <s v="A. Schwarzenegger"/>
    <d v="2023-06-07T00:00:00"/>
    <s v="3 Eps; 180 min"/>
    <s v="USA"/>
    <x v="14"/>
    <n v="180"/>
    <n v="12.1"/>
    <m/>
    <m/>
    <m/>
    <m/>
    <m/>
    <m/>
    <m/>
    <m/>
  </r>
  <r>
    <n v="2023"/>
    <x v="143"/>
    <n v="8.1"/>
    <s v="11.2M Views"/>
    <s v="Charlie Brooker"/>
    <s v="Diane Morgan"/>
    <d v="2023-01-31T00:00:00"/>
    <s v="5 Eps; 150 min"/>
    <s v="UK"/>
    <x v="104"/>
    <n v="150"/>
    <n v="11.2"/>
    <m/>
    <m/>
    <m/>
    <m/>
    <m/>
    <m/>
    <m/>
    <m/>
  </r>
  <r>
    <n v="2024"/>
    <x v="144"/>
    <n v="6.8"/>
    <s v="107.5M Views"/>
    <s v="Danny Brocklehurst"/>
    <s v="Michelle Keegan"/>
    <d v="2024-01-01T00:00:00"/>
    <s v="8 Eps; 385 min"/>
    <s v="UK"/>
    <x v="105"/>
    <n v="385"/>
    <n v="107.5"/>
    <m/>
    <m/>
    <m/>
    <m/>
    <m/>
    <m/>
    <m/>
    <m/>
  </r>
  <r>
    <n v="2024"/>
    <x v="145"/>
    <n v="7.8"/>
    <s v="87.6M Views"/>
    <s v="Richard Gadd"/>
    <s v="Richard Gadd"/>
    <d v="2024-04-11T00:00:00"/>
    <s v="7 Eps; 238 min"/>
    <s v="UK"/>
    <x v="101"/>
    <n v="238"/>
    <n v="87.6"/>
    <m/>
    <m/>
    <m/>
    <m/>
    <m/>
    <m/>
    <m/>
    <m/>
  </r>
  <r>
    <n v="2024"/>
    <x v="146"/>
    <n v="8"/>
    <s v="192.6M Views"/>
    <s v="Hwang Dong-hyuk"/>
    <s v="Lee Jung-jae"/>
    <d v="2024-12-26T00:00:00"/>
    <s v="S2; 430 min"/>
    <s v="South Korea"/>
    <x v="71"/>
    <n v="430"/>
    <n v="192.6"/>
    <m/>
    <m/>
    <m/>
    <m/>
    <m/>
    <m/>
    <m/>
    <m/>
  </r>
  <r>
    <n v="2024"/>
    <x v="147"/>
    <n v="7.4"/>
    <s v="106M Views"/>
    <s v="Jess Brownell"/>
    <s v="Nicola Coughlan"/>
    <d v="2024-05-16T00:00:00"/>
    <s v="S3; 479 min"/>
    <s v="USA"/>
    <x v="57"/>
    <n v="479"/>
    <n v="106"/>
    <m/>
    <m/>
    <m/>
    <m/>
    <m/>
    <m/>
    <m/>
    <m/>
  </r>
  <r>
    <n v="2024"/>
    <x v="148"/>
    <n v="8.1"/>
    <s v="75.9M Views"/>
    <s v="Guy Ritchie"/>
    <s v="Theo James"/>
    <d v="2024-03-07T00:00:00"/>
    <s v="S1; 401 min"/>
    <s v="UK/USA"/>
    <x v="106"/>
    <n v="401"/>
    <n v="75.900000000000006"/>
    <m/>
    <m/>
    <m/>
    <m/>
    <m/>
    <m/>
    <m/>
    <m/>
  </r>
  <r>
    <n v="2024"/>
    <x v="149"/>
    <n v="7.2"/>
    <s v="71.1M Views"/>
    <s v="Albert Kim"/>
    <s v="Gordon Cormier"/>
    <d v="2024-02-22T00:00:00"/>
    <s v="S1; 435 min"/>
    <s v="USA"/>
    <x v="107"/>
    <n v="435"/>
    <n v="71.099999999999994"/>
    <m/>
    <m/>
    <m/>
    <m/>
    <m/>
    <m/>
    <m/>
    <m/>
  </r>
  <r>
    <n v="2024"/>
    <x v="150"/>
    <n v="7.2"/>
    <s v="69.2M Views"/>
    <s v="Doug Miro"/>
    <s v="Sofía Vergara"/>
    <d v="2024-01-25T00:00:00"/>
    <s v="6 Eps; 332 min"/>
    <s v="USA"/>
    <x v="108"/>
    <n v="332"/>
    <n v="69.2"/>
    <m/>
    <m/>
    <m/>
    <m/>
    <m/>
    <m/>
    <m/>
    <m/>
  </r>
  <r>
    <n v="2024"/>
    <x v="151"/>
    <n v="7.5"/>
    <s v="52.4M Views"/>
    <s v="D. Benioff, D.B. Weiss"/>
    <s v="Jovan Adepo"/>
    <d v="2024-03-21T00:00:00"/>
    <s v="S1; 444 min"/>
    <s v="USA/UK"/>
    <x v="109"/>
    <n v="444"/>
    <n v="52.4"/>
    <m/>
    <m/>
    <m/>
    <m/>
    <m/>
    <m/>
    <m/>
    <m/>
  </r>
  <r>
    <n v="2024"/>
    <x v="152"/>
    <n v="6.5"/>
    <s v="75.1M Views"/>
    <s v="Susanne Bier"/>
    <s v="Nicole Kidman"/>
    <d v="2024-09-05T00:00:00"/>
    <s v="6 Eps; 306 min"/>
    <s v="USA"/>
    <x v="105"/>
    <n v="306"/>
    <n v="75.099999999999994"/>
    <m/>
    <m/>
    <m/>
    <m/>
    <m/>
    <m/>
    <m/>
    <m/>
  </r>
  <r>
    <n v="2024"/>
    <x v="153"/>
    <n v="8.1"/>
    <s v="39.4M Views"/>
    <s v="Nicole Taylor"/>
    <s v="Ambika Mod"/>
    <d v="2024-02-08T00:00:00"/>
    <s v="14 Eps; 400 min"/>
    <s v="UK"/>
    <x v="110"/>
    <n v="400"/>
    <n v="39.4"/>
    <m/>
    <m/>
    <m/>
    <m/>
    <m/>
    <m/>
    <m/>
    <m/>
  </r>
  <r>
    <n v="2024"/>
    <x v="134"/>
    <n v="7"/>
    <s v="48.5M Views"/>
    <s v="Álex Pina"/>
    <s v="Pedro Alonso"/>
    <d v="2023-12-29T00:00:00"/>
    <s v="S1; 424 min"/>
    <s v="Spain"/>
    <x v="99"/>
    <n v="424"/>
    <n v="48.5"/>
    <m/>
    <m/>
    <m/>
    <m/>
    <m/>
    <m/>
    <m/>
    <m/>
  </r>
  <r>
    <n v="2024"/>
    <x v="154"/>
    <n v="6.9"/>
    <s v="30.7M Views"/>
    <s v="Ramón Campos"/>
    <s v="Candela Peña"/>
    <d v="2024-04-26T00:00:00"/>
    <s v="6 Eps; 325 min"/>
    <s v="Spain"/>
    <x v="111"/>
    <n v="325"/>
    <n v="30.7"/>
    <m/>
    <m/>
    <m/>
    <m/>
    <m/>
    <m/>
    <m/>
    <m/>
  </r>
  <r>
    <n v="2024"/>
    <x v="155"/>
    <n v="5.2"/>
    <s v="84.7M Views"/>
    <s v="Xavier Gens"/>
    <s v="Bérénice Bejo"/>
    <d v="2024-06-05T00:00:00"/>
    <s v="Webfilm; 104 min"/>
    <s v="France"/>
    <x v="112"/>
    <n v="104"/>
    <n v="84.7"/>
    <m/>
    <m/>
    <m/>
    <m/>
    <m/>
    <m/>
    <m/>
    <m/>
  </r>
  <r>
    <n v="2024"/>
    <x v="156"/>
    <n v="6.5"/>
    <s v="31.4M Views"/>
    <s v="Kasper Barfoed"/>
    <s v="Ane Dahl Torp"/>
    <d v="2024-12-12T00:00:00"/>
    <s v="1 Season; 184 min"/>
    <s v="Norway"/>
    <x v="113"/>
    <n v="184"/>
    <n v="31.4"/>
    <m/>
    <m/>
    <m/>
    <m/>
    <m/>
    <m/>
    <m/>
    <m/>
  </r>
  <r>
    <n v="2024"/>
    <x v="157"/>
    <n v="7.2"/>
    <s v="25.4M Views"/>
    <s v="José Manuel Lorenzo"/>
    <s v="Nicole Wallace"/>
    <d v="2024-05-31T00:00:00"/>
    <s v="8 Eps; 363 min"/>
    <s v="Spain"/>
    <x v="114"/>
    <n v="363"/>
    <n v="25.4"/>
    <m/>
    <m/>
    <m/>
    <m/>
    <m/>
    <m/>
    <m/>
    <m/>
  </r>
  <r>
    <n v="2024"/>
    <x v="158"/>
    <n v="6.9"/>
    <s v="25.4M Views"/>
    <s v="Yeon Sang-ho"/>
    <s v="Jeon So-nee"/>
    <d v="2024-04-05T00:00:00"/>
    <s v="6 Eps; 300 min"/>
    <s v="South Korea"/>
    <x v="115"/>
    <n v="300"/>
    <n v="25.4"/>
    <m/>
    <m/>
    <m/>
    <m/>
    <m/>
    <m/>
    <m/>
    <m/>
  </r>
  <r>
    <n v="2024"/>
    <x v="159"/>
    <n v="8.1999999999999993"/>
    <s v="29.2M Views"/>
    <s v="Park Ji-eun"/>
    <s v="Kim Soo-hyun"/>
    <d v="2024-03-09T00:00:00"/>
    <s v="16 Eps; 1402 min"/>
    <s v="South Korea"/>
    <x v="116"/>
    <n v="1402"/>
    <n v="29.2"/>
    <m/>
    <m/>
    <m/>
    <m/>
    <m/>
    <m/>
    <m/>
    <m/>
  </r>
  <r>
    <n v="2024"/>
    <x v="160"/>
    <n v="7.3"/>
    <s v="20M Views"/>
    <s v="Jeb Stuart"/>
    <s v="Sam Corlett"/>
    <d v="2024-07-11T00:00:00"/>
    <s v="S3; 400 min"/>
    <s v="USA"/>
    <x v="17"/>
    <n v="400"/>
    <n v="20"/>
    <m/>
    <m/>
    <m/>
    <m/>
    <m/>
    <m/>
    <m/>
    <m/>
  </r>
  <r>
    <n v="2024"/>
    <x v="161"/>
    <n v="7.6"/>
    <s v="23.9M Views"/>
    <s v="Byron Wu"/>
    <s v="Michelle Yeoh"/>
    <d v="2024-01-04T00:00:00"/>
    <s v="S1; 440 min"/>
    <s v="USA"/>
    <x v="117"/>
    <n v="440"/>
    <n v="23.9"/>
    <m/>
    <m/>
    <m/>
    <m/>
    <m/>
    <m/>
    <m/>
    <m/>
  </r>
  <r>
    <n v="2024"/>
    <x v="162"/>
    <n v="6.3"/>
    <s v="23.3M Views"/>
    <s v="Jean-Yves Arnaud"/>
    <s v="Lina El Arabi"/>
    <d v="2024-03-01T00:00:00"/>
    <s v="S1; 360 min"/>
    <s v="France"/>
    <x v="118"/>
    <n v="360"/>
    <n v="23.3"/>
    <m/>
    <m/>
    <m/>
    <m/>
    <m/>
    <m/>
    <m/>
    <m/>
  </r>
  <r>
    <n v="2025"/>
    <x v="163"/>
    <n v="8.8000000000000007"/>
    <s v="142.6M Views"/>
    <s v="Philip Barantini"/>
    <s v="Owen Cooper"/>
    <d v="2025-03-13T00:00:00"/>
    <s v="1 Season; 230 min"/>
    <s v="UK"/>
    <x v="11"/>
    <n v="230"/>
    <n v="142.6"/>
    <m/>
    <m/>
    <m/>
    <m/>
    <m/>
    <m/>
    <m/>
    <m/>
  </r>
  <r>
    <n v="2025"/>
    <x v="164"/>
    <n v="8"/>
    <s v="145.8M Views"/>
    <s v="Hwang Dong-hyuk"/>
    <s v="Lee Jung-jae"/>
    <d v="2025-06-27T00:00:00"/>
    <s v="S3; 368 min"/>
    <s v="South Korea"/>
    <x v="71"/>
    <n v="368"/>
    <n v="145.80000000000001"/>
    <m/>
    <m/>
    <m/>
    <m/>
    <m/>
    <m/>
    <m/>
    <m/>
  </r>
  <r>
    <n v="2025"/>
    <x v="165"/>
    <n v="8.6999999999999993"/>
    <s v="133.8M Views"/>
    <s v="The Duffer Brothers"/>
    <s v="Millie B. Brown"/>
    <d v="2025-11-26T00:00:00"/>
    <s v="S5; 624 min"/>
    <s v="USA"/>
    <x v="1"/>
    <n v="624"/>
    <n v="133.80000000000001"/>
    <m/>
    <m/>
    <m/>
    <m/>
    <m/>
    <m/>
    <m/>
    <m/>
  </r>
  <r>
    <n v="2025"/>
    <x v="166"/>
    <n v="8.1"/>
    <s v="124M Views"/>
    <s v="Tim Burton"/>
    <s v="Jenna Ortega"/>
    <d v="2025-08-06T00:00:00"/>
    <s v="S2; 467 min"/>
    <s v="USA"/>
    <x v="83"/>
    <n v="467"/>
    <n v="124"/>
    <m/>
    <m/>
    <m/>
    <m/>
    <m/>
    <m/>
    <m/>
    <m/>
  </r>
  <r>
    <n v="2025"/>
    <x v="167"/>
    <n v="7.5"/>
    <s v="482M Views"/>
    <s v="Maggie Kang, Chris Appelhans"/>
    <s v="Animation/Music"/>
    <d v="2025-06-20T00:00:00"/>
    <s v="Webseries; 400 min"/>
    <s v="South Korea"/>
    <x v="119"/>
    <n v="400"/>
    <n v="482"/>
    <m/>
    <m/>
    <m/>
    <m/>
    <m/>
    <m/>
    <m/>
    <m/>
  </r>
  <r>
    <n v="2025"/>
    <x v="168"/>
    <n v="7.6"/>
    <s v="61.3M Views"/>
    <s v="Lesli Linka Glatter"/>
    <s v="Robert De Niro"/>
    <d v="2025-01-01T00:00:00"/>
    <s v="6 Eps; 309 min"/>
    <s v="USA"/>
    <x v="36"/>
    <n v="309"/>
    <n v="61.3"/>
    <m/>
    <m/>
    <m/>
    <m/>
    <m/>
    <m/>
    <m/>
    <m/>
  </r>
  <r>
    <n v="2025"/>
    <x v="169"/>
    <n v="7.1"/>
    <s v="58M Views"/>
    <s v="Carlton Cuse"/>
    <s v="Rosalind Eleazar"/>
    <d v="2025-01-01T00:00:00"/>
    <s v="1 Season; 226 min"/>
    <s v="UK"/>
    <x v="11"/>
    <n v="226"/>
    <n v="58"/>
    <m/>
    <m/>
    <m/>
    <m/>
    <m/>
    <m/>
    <m/>
    <m/>
  </r>
  <r>
    <n v="2025"/>
    <x v="170"/>
    <n v="7.8"/>
    <s v="93M Views"/>
    <s v="Mark L. Smith"/>
    <s v="Eric Bana"/>
    <d v="2025-07-17T00:00:00"/>
    <s v="S1; 300 min"/>
    <s v="USA"/>
    <x v="78"/>
    <n v="300"/>
    <n v="93"/>
    <m/>
    <m/>
    <m/>
    <m/>
    <m/>
    <m/>
    <m/>
    <m/>
  </r>
  <r>
    <n v="2025"/>
    <x v="171"/>
    <n v="7.2"/>
    <s v="76M Views"/>
    <s v="Kathryn Bigelow"/>
    <s v="Idris Elba"/>
    <d v="2025-08-20T00:00:00"/>
    <s v="S1; 400 min"/>
    <s v="USA"/>
    <x v="69"/>
    <n v="400"/>
    <n v="76"/>
    <m/>
    <m/>
    <m/>
    <m/>
    <m/>
    <m/>
    <m/>
    <m/>
  </r>
  <r>
    <n v="2025"/>
    <x v="172"/>
    <n v="6.8"/>
    <s v="66M Views"/>
    <s v="Kim Byung-woo"/>
    <s v="Kim Da-mi"/>
    <d v="2025-01-01T00:00:00"/>
    <s v="1 Season; 450 min"/>
    <s v="South Korea"/>
    <x v="120"/>
    <n v="450"/>
    <n v="66"/>
    <m/>
    <m/>
    <m/>
    <m/>
    <m/>
    <m/>
    <m/>
    <m/>
  </r>
  <r>
    <n v="2025"/>
    <x v="173"/>
    <n v="8.5"/>
    <s v="73M Views"/>
    <s v="Rachel Griffin"/>
    <s v="Rachel Griffin"/>
    <d v="2025-01-01T00:00:00"/>
    <s v="S1/2; 300 min"/>
    <s v="USA"/>
    <x v="121"/>
    <n v="300"/>
    <n v="73"/>
    <m/>
    <m/>
    <m/>
    <m/>
    <m/>
    <m/>
    <m/>
    <m/>
  </r>
  <r>
    <n v="2025"/>
    <x v="174"/>
    <n v="7.1"/>
    <s v="108M Views"/>
    <s v="Traci Paige Johnson"/>
    <s v="Laila Lockhart"/>
    <d v="2025-07-01T00:00:00"/>
    <s v="All Seasons; 1000 min"/>
    <s v="USA"/>
    <x v="121"/>
    <n v="1000"/>
    <n v="108"/>
    <m/>
    <m/>
    <m/>
    <m/>
    <m/>
    <m/>
    <m/>
    <m/>
  </r>
  <r>
    <n v="2025"/>
    <x v="175"/>
    <n v="8.4"/>
    <s v="34.8M Views"/>
    <s v="Kim Won-seok"/>
    <s v="IU, Park Bo-gum"/>
    <d v="2025-01-01T00:00:00"/>
    <s v="1 Season; 995 min"/>
    <s v="South Korea"/>
    <x v="58"/>
    <n v="995"/>
    <n v="34.799999999999997"/>
    <m/>
    <m/>
    <m/>
    <m/>
    <m/>
    <m/>
    <m/>
    <m/>
  </r>
  <r>
    <n v="2025"/>
    <x v="176"/>
    <n v="8"/>
    <s v="34.1M Views"/>
    <s v="Lee Chi-hyung"/>
    <s v="Ju Ji-hoon"/>
    <d v="2025-01-01T00:00:00"/>
    <s v="S1; 416 min"/>
    <s v="South Korea"/>
    <x v="122"/>
    <n v="416"/>
    <n v="34.1"/>
    <m/>
    <m/>
    <m/>
    <m/>
    <m/>
    <m/>
    <m/>
    <m/>
  </r>
  <r>
    <n v="2025"/>
    <x v="168"/>
    <n v="7.6"/>
    <s v="61M Views"/>
    <s v="Lesli Linka Glatter"/>
    <s v="Robert De Niro"/>
    <d v="2025-01-01T00:00:00"/>
    <s v="6 Eps; 300 min"/>
    <s v="USA"/>
    <x v="36"/>
    <n v="300"/>
    <n v="61"/>
    <m/>
    <m/>
    <m/>
    <m/>
    <m/>
    <m/>
    <m/>
    <m/>
  </r>
  <r>
    <n v="2025"/>
    <x v="177"/>
    <n v="7.3"/>
    <s v="32.6M Views"/>
    <s v="Joakim Eliasson,Alain Darborg."/>
    <s v="Carla Sehn"/>
    <d v="2025-03-01T00:00:00"/>
    <s v="S1; 218 min"/>
    <s v="Sweden"/>
    <x v="11"/>
    <n v="218"/>
    <n v="32.6"/>
    <m/>
    <m/>
    <m/>
    <m/>
    <m/>
    <m/>
    <m/>
    <m/>
  </r>
  <r>
    <n v="2025"/>
    <x v="178"/>
    <n v="7.5"/>
    <s v="33.8M Views"/>
    <s v="Per Fly"/>
    <s v="Marie Bach Hansen"/>
    <d v="2025-02-15T00:00:00"/>
    <s v="1 Season; 224 min"/>
    <s v="Denmark"/>
    <x v="11"/>
    <n v="224"/>
    <n v="33.799999999999997"/>
    <m/>
    <m/>
    <m/>
    <m/>
    <m/>
    <m/>
    <m/>
    <m/>
  </r>
  <r>
    <n v="2025"/>
    <x v="179"/>
    <n v="7.2"/>
    <s v="33.5M Views"/>
    <s v="Mikel Rueda, Rafa Montesinos."/>
    <s v="Álvaro Rico"/>
    <d v="2025-01-01T00:00:00"/>
    <s v="1 Season; 280 min"/>
    <s v="Spain"/>
    <x v="123"/>
    <n v="280"/>
    <n v="33.5"/>
    <m/>
    <m/>
    <m/>
    <m/>
    <m/>
    <m/>
    <m/>
    <m/>
  </r>
  <r>
    <n v="2025"/>
    <x v="180"/>
    <n v="6.7"/>
    <s v="41.3M Views"/>
    <s v="Mindy Kaling"/>
    <s v="Kate Hudson"/>
    <d v="2025-03-15T00:00:00"/>
    <s v="S1; 304 min"/>
    <s v="USA"/>
    <x v="30"/>
    <n v="304"/>
    <n v="41.3"/>
    <m/>
    <m/>
    <m/>
    <m/>
    <m/>
    <m/>
    <m/>
    <m/>
  </r>
  <r>
    <n v="2025"/>
    <x v="181"/>
    <n v="6.9"/>
    <s v="39.4M Views"/>
    <s v="Erika Dunton"/>
    <s v="Colman Domingo"/>
    <d v="2025-04-01T00:00:00"/>
    <s v="S1; 258 min"/>
    <s v="USA"/>
    <x v="30"/>
    <n v="258"/>
    <n v="39.4"/>
    <m/>
    <m/>
    <m/>
    <m/>
    <m/>
    <m/>
    <m/>
    <m/>
  </r>
  <r>
    <m/>
    <x v="182"/>
    <m/>
    <m/>
    <m/>
    <m/>
    <m/>
    <m/>
    <m/>
    <x v="124"/>
    <m/>
    <n v="142"/>
    <m/>
    <m/>
    <m/>
    <m/>
    <m/>
    <m/>
    <m/>
    <m/>
  </r>
  <r>
    <m/>
    <x v="182"/>
    <m/>
    <m/>
    <m/>
    <m/>
    <m/>
    <m/>
    <m/>
    <x v="124"/>
    <m/>
    <s v="Count of numeric values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1554F-C290-4ED0-8442-0A3A7B3BCA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ry">
  <location ref="A3:D8" firstHeaderRow="0" firstDataRow="1" firstDataCol="1"/>
  <pivotFields count="12">
    <pivotField showAll="0"/>
    <pivotField dataField="1" showAll="0"/>
    <pivotField dataField="1" showAll="0"/>
    <pivotField showAll="0"/>
    <pivotField showAll="0"/>
    <pivotField showAll="0"/>
    <pivotField numFmtId="15" showAll="0"/>
    <pivotField showAll="0"/>
    <pivotField axis="axisRow" showAll="0" measureFilter="1" sortType="descending">
      <items count="26">
        <item x="19"/>
        <item x="2"/>
        <item x="6"/>
        <item x="7"/>
        <item x="21"/>
        <item x="24"/>
        <item x="17"/>
        <item x="16"/>
        <item x="15"/>
        <item x="8"/>
        <item x="22"/>
        <item x="13"/>
        <item x="5"/>
        <item x="23"/>
        <item x="4"/>
        <item x="11"/>
        <item x="18"/>
        <item x="1"/>
        <item x="0"/>
        <item x="3"/>
        <item x="14"/>
        <item x="9"/>
        <item x="10"/>
        <item x="12"/>
        <item x="2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</pivotFields>
  <rowFields count="1">
    <field x="8"/>
  </rowFields>
  <rowItems count="5">
    <i>
      <x v="14"/>
    </i>
    <i>
      <x v="11"/>
    </i>
    <i>
      <x v="18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tle" fld="1" subtotal="count" baseField="0" baseItem="0"/>
    <dataField name="% of Grand Total" fld="1" subtotal="count" showDataAs="percentOfTotal" baseField="8" baseItem="18" numFmtId="10"/>
    <dataField name="Average of IMDb" fld="2" subtotal="average" baseField="8" baseItem="18" numFmtId="2"/>
  </dataFields>
  <pivotTableStyleInfo name="PivotStyleLight16" showRowHeaders="1" showColHeaders="1" showRowStripes="0" showColStripes="0" showLastColumn="1"/>
  <filters count="1">
    <filter fld="8" type="valueGreaterThanOrEqual" evalOrder="-1" id="1" iMeasureFld="0">
      <autoFilter ref="A1">
        <filterColumn colId="0">
          <customFilters>
            <customFilter operator="greaterThanOrEqual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31E8D-CD01-4A5D-983C-5FAA4A46967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res">
  <location ref="A3:D6" firstHeaderRow="0" firstDataRow="1" firstDataCol="1"/>
  <pivotFields count="20">
    <pivotField showAll="0"/>
    <pivotField dataField="1" showAll="0">
      <items count="184">
        <item x="9"/>
        <item x="116"/>
        <item x="105"/>
        <item x="8"/>
        <item x="20"/>
        <item x="151"/>
        <item x="171"/>
        <item x="33"/>
        <item x="163"/>
        <item x="60"/>
        <item x="121"/>
        <item x="80"/>
        <item x="108"/>
        <item x="70"/>
        <item x="22"/>
        <item x="25"/>
        <item x="95"/>
        <item x="104"/>
        <item x="142"/>
        <item x="36"/>
        <item x="149"/>
        <item x="145"/>
        <item x="132"/>
        <item x="137"/>
        <item x="102"/>
        <item x="134"/>
        <item x="31"/>
        <item x="12"/>
        <item x="139"/>
        <item x="13"/>
        <item x="136"/>
        <item x="135"/>
        <item x="41"/>
        <item x="17"/>
        <item x="72"/>
        <item x="110"/>
        <item x="147"/>
        <item x="117"/>
        <item x="15"/>
        <item x="46"/>
        <item x="96"/>
        <item x="83"/>
        <item x="103"/>
        <item x="67"/>
        <item x="143"/>
        <item x="100"/>
        <item x="107"/>
        <item x="59"/>
        <item x="133"/>
        <item x="37"/>
        <item x="123"/>
        <item x="52"/>
        <item x="54"/>
        <item x="45"/>
        <item x="75"/>
        <item x="112"/>
        <item x="140"/>
        <item x="42"/>
        <item x="93"/>
        <item x="16"/>
        <item x="144"/>
        <item x="35"/>
        <item x="2"/>
        <item x="162"/>
        <item x="174"/>
        <item x="6"/>
        <item x="92"/>
        <item x="129"/>
        <item x="34"/>
        <item x="71"/>
        <item x="150"/>
        <item x="115"/>
        <item x="98"/>
        <item x="51"/>
        <item x="28"/>
        <item x="44"/>
        <item x="109"/>
        <item x="61"/>
        <item x="167"/>
        <item x="156"/>
        <item x="19"/>
        <item x="40"/>
        <item x="120"/>
        <item x="81"/>
        <item x="14"/>
        <item x="50"/>
        <item x="10"/>
        <item x="77"/>
        <item x="138"/>
        <item x="65"/>
        <item x="88"/>
        <item x="89"/>
        <item x="39"/>
        <item x="113"/>
        <item x="18"/>
        <item x="4"/>
        <item x="3"/>
        <item x="68"/>
        <item x="97"/>
        <item x="24"/>
        <item x="169"/>
        <item x="21"/>
        <item x="173"/>
        <item x="141"/>
        <item x="99"/>
        <item x="11"/>
        <item x="47"/>
        <item x="32"/>
        <item x="78"/>
        <item x="38"/>
        <item x="153"/>
        <item x="125"/>
        <item x="0"/>
        <item x="64"/>
        <item x="76"/>
        <item x="131"/>
        <item x="23"/>
        <item x="158"/>
        <item x="66"/>
        <item x="126"/>
        <item x="159"/>
        <item x="69"/>
        <item x="157"/>
        <item x="79"/>
        <item x="180"/>
        <item x="63"/>
        <item x="86"/>
        <item x="178"/>
        <item x="53"/>
        <item x="57"/>
        <item x="90"/>
        <item x="94"/>
        <item x="119"/>
        <item x="82"/>
        <item x="87"/>
        <item x="146"/>
        <item x="164"/>
        <item x="1"/>
        <item x="56"/>
        <item x="106"/>
        <item x="165"/>
        <item x="84"/>
        <item x="91"/>
        <item x="177"/>
        <item x="154"/>
        <item x="161"/>
        <item x="30"/>
        <item x="5"/>
        <item x="128"/>
        <item x="118"/>
        <item x="181"/>
        <item x="179"/>
        <item x="148"/>
        <item x="127"/>
        <item x="172"/>
        <item x="43"/>
        <item x="29"/>
        <item x="124"/>
        <item x="27"/>
        <item x="152"/>
        <item x="73"/>
        <item x="7"/>
        <item x="122"/>
        <item x="111"/>
        <item x="101"/>
        <item x="48"/>
        <item x="114"/>
        <item x="55"/>
        <item x="74"/>
        <item x="176"/>
        <item x="26"/>
        <item x="62"/>
        <item x="155"/>
        <item x="85"/>
        <item x="170"/>
        <item x="160"/>
        <item x="166"/>
        <item x="175"/>
        <item x="58"/>
        <item x="49"/>
        <item x="130"/>
        <item x="168"/>
        <item x="18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6">
        <item x="117"/>
        <item x="118"/>
        <item x="3"/>
        <item x="94"/>
        <item x="112"/>
        <item x="93"/>
        <item x="16"/>
        <item x="27"/>
        <item x="75"/>
        <item x="45"/>
        <item x="108"/>
        <item x="5"/>
        <item x="28"/>
        <item x="48"/>
        <item x="18"/>
        <item x="30"/>
        <item x="29"/>
        <item x="15"/>
        <item x="7"/>
        <item x="0"/>
        <item x="33"/>
        <item x="31"/>
        <item x="105"/>
        <item x="98"/>
        <item x="106"/>
        <item x="123"/>
        <item x="11"/>
        <item x="78"/>
        <item x="39"/>
        <item x="101"/>
        <item x="62"/>
        <item x="113"/>
        <item x="14"/>
        <item x="69"/>
        <item x="47"/>
        <item x="73"/>
        <item x="6"/>
        <item x="107"/>
        <item x="65"/>
        <item x="46"/>
        <item x="103"/>
        <item x="91"/>
        <item x="99"/>
        <item x="20"/>
        <item x="17"/>
        <item x="38"/>
        <item x="82"/>
        <item x="89"/>
        <item x="67"/>
        <item x="121"/>
        <item x="86"/>
        <item x="122"/>
        <item x="79"/>
        <item x="104"/>
        <item x="119"/>
        <item x="102"/>
        <item x="90"/>
        <item x="87"/>
        <item x="72"/>
        <item x="51"/>
        <item x="53"/>
        <item x="58"/>
        <item x="95"/>
        <item x="57"/>
        <item x="49"/>
        <item x="54"/>
        <item x="25"/>
        <item x="97"/>
        <item x="36"/>
        <item x="43"/>
        <item x="63"/>
        <item x="37"/>
        <item x="55"/>
        <item x="96"/>
        <item x="10"/>
        <item x="110"/>
        <item x="68"/>
        <item x="116"/>
        <item x="60"/>
        <item x="32"/>
        <item x="21"/>
        <item x="109"/>
        <item x="120"/>
        <item x="8"/>
        <item x="12"/>
        <item x="50"/>
        <item x="100"/>
        <item x="56"/>
        <item x="9"/>
        <item x="115"/>
        <item x="1"/>
        <item x="23"/>
        <item x="24"/>
        <item x="22"/>
        <item x="81"/>
        <item x="44"/>
        <item x="52"/>
        <item x="70"/>
        <item x="2"/>
        <item x="35"/>
        <item x="92"/>
        <item x="4"/>
        <item x="42"/>
        <item x="76"/>
        <item x="41"/>
        <item x="83"/>
        <item x="77"/>
        <item x="71"/>
        <item x="64"/>
        <item x="61"/>
        <item x="114"/>
        <item x="34"/>
        <item x="19"/>
        <item x="74"/>
        <item x="88"/>
        <item x="40"/>
        <item x="13"/>
        <item x="84"/>
        <item x="26"/>
        <item x="59"/>
        <item x="111"/>
        <item x="80"/>
        <item x="66"/>
        <item x="85"/>
        <item x="124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3">
    <i>
      <x v="26"/>
    </i>
    <i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itle" fld="1" subtotal="count" baseField="0" baseItem="0"/>
    <dataField name="Average of IMDb" fld="2" subtotal="average" baseField="9" baseItem="19" numFmtId="2"/>
    <dataField name="Average of Views_Millions" fld="11" subtotal="average" baseField="9" baseItem="21" numFmtId="2"/>
  </dataFields>
  <pivotTableStyleInfo name="PivotStyleLight16" showRowHeaders="1" showColHeaders="1" showRowStripes="0" showColStripes="0" showLastColumn="1"/>
  <filters count="1">
    <filter fld="9" type="valueGreaterThanOrEqual" evalOrder="-1" id="2" iMeasureFld="0">
      <autoFilter ref="A1">
        <filterColumn colId="0">
          <customFilters>
            <customFilter operator="greaterThanOrEqual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2CDC8-A4EC-44CF-9E62-B4A9B3BBB518}">
  <dimension ref="A3:D17"/>
  <sheetViews>
    <sheetView workbookViewId="0">
      <selection activeCell="D3" activeCellId="1" sqref="A3:A7 D3:D7"/>
    </sheetView>
  </sheetViews>
  <sheetFormatPr defaultRowHeight="15" x14ac:dyDescent="0.25"/>
  <cols>
    <col min="1" max="1" width="11.5703125" bestFit="1" customWidth="1"/>
    <col min="2" max="2" width="13.42578125" bestFit="1" customWidth="1"/>
    <col min="3" max="4" width="15.7109375" bestFit="1" customWidth="1"/>
    <col min="5" max="5" width="13.5703125" bestFit="1" customWidth="1"/>
  </cols>
  <sheetData>
    <row r="3" spans="1:4" x14ac:dyDescent="0.25">
      <c r="A3" s="3" t="s">
        <v>8</v>
      </c>
      <c r="B3" t="s">
        <v>992</v>
      </c>
      <c r="C3" t="s">
        <v>994</v>
      </c>
      <c r="D3" t="s">
        <v>993</v>
      </c>
    </row>
    <row r="4" spans="1:4" x14ac:dyDescent="0.25">
      <c r="A4" s="4" t="s">
        <v>90</v>
      </c>
      <c r="B4" s="6">
        <v>23</v>
      </c>
      <c r="C4" s="5">
        <v>0.1377245508982036</v>
      </c>
      <c r="D4" s="8">
        <v>8.1391304347826079</v>
      </c>
    </row>
    <row r="5" spans="1:4" x14ac:dyDescent="0.25">
      <c r="A5" s="4" t="s">
        <v>358</v>
      </c>
      <c r="B5" s="6">
        <v>20</v>
      </c>
      <c r="C5" s="5">
        <v>0.11976047904191617</v>
      </c>
      <c r="D5" s="8">
        <v>7.8950000000000005</v>
      </c>
    </row>
    <row r="6" spans="1:4" x14ac:dyDescent="0.25">
      <c r="A6" s="4" t="s">
        <v>15</v>
      </c>
      <c r="B6" s="6">
        <v>115</v>
      </c>
      <c r="C6" s="5">
        <v>0.68862275449101795</v>
      </c>
      <c r="D6" s="8">
        <v>7.6356521739130443</v>
      </c>
    </row>
    <row r="7" spans="1:4" x14ac:dyDescent="0.25">
      <c r="A7" s="4" t="s">
        <v>143</v>
      </c>
      <c r="B7" s="6">
        <v>9</v>
      </c>
      <c r="C7" s="5">
        <v>5.3892215568862277E-2</v>
      </c>
      <c r="D7" s="8">
        <v>7.4555555555555548</v>
      </c>
    </row>
    <row r="8" spans="1:4" x14ac:dyDescent="0.25">
      <c r="A8" s="4" t="s">
        <v>991</v>
      </c>
      <c r="B8" s="6">
        <v>167</v>
      </c>
      <c r="C8" s="5">
        <v>1</v>
      </c>
      <c r="D8" s="8">
        <v>7.7263473053892229</v>
      </c>
    </row>
    <row r="17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18CBE-4E64-4040-ACB0-BE3A8B0807A3}">
  <dimension ref="A3:D6"/>
  <sheetViews>
    <sheetView workbookViewId="0">
      <selection activeCell="B15" sqref="B15"/>
    </sheetView>
  </sheetViews>
  <sheetFormatPr defaultRowHeight="15" x14ac:dyDescent="0.25"/>
  <cols>
    <col min="1" max="1" width="14.5703125" bestFit="1" customWidth="1"/>
    <col min="2" max="2" width="13.42578125" bestFit="1" customWidth="1"/>
    <col min="3" max="3" width="15.7109375" bestFit="1" customWidth="1"/>
    <col min="4" max="4" width="24.5703125" bestFit="1" customWidth="1"/>
  </cols>
  <sheetData>
    <row r="3" spans="1:4" x14ac:dyDescent="0.25">
      <c r="A3" s="3" t="s">
        <v>1011</v>
      </c>
      <c r="B3" t="s">
        <v>992</v>
      </c>
      <c r="C3" t="s">
        <v>993</v>
      </c>
      <c r="D3" t="s">
        <v>1000</v>
      </c>
    </row>
    <row r="4" spans="1:4" x14ac:dyDescent="0.25">
      <c r="A4" s="4" t="s">
        <v>84</v>
      </c>
      <c r="B4" s="6">
        <v>13</v>
      </c>
      <c r="C4" s="8">
        <v>8.184615384615384</v>
      </c>
      <c r="D4" s="8">
        <v>43.062500000000007</v>
      </c>
    </row>
    <row r="5" spans="1:4" x14ac:dyDescent="0.25">
      <c r="A5" s="4" t="s">
        <v>227</v>
      </c>
      <c r="B5" s="6">
        <v>5</v>
      </c>
      <c r="C5" s="8">
        <v>8.1800000000000015</v>
      </c>
      <c r="D5" s="8">
        <v>35.619999999999997</v>
      </c>
    </row>
    <row r="6" spans="1:4" x14ac:dyDescent="0.25">
      <c r="A6" s="4" t="s">
        <v>991</v>
      </c>
      <c r="B6" s="6">
        <v>18</v>
      </c>
      <c r="C6" s="8">
        <v>8.1833333333333336</v>
      </c>
      <c r="D6" s="8">
        <v>40.200000000000003</v>
      </c>
    </row>
  </sheetData>
  <pageMargins left="0.7" right="0.7" top="0.75" bottom="0.75" header="0.3" footer="0.3"/>
  <pageSetup paperSize="9" orientation="landscape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636F-3BB9-471B-9540-D6FDFA443A44}">
  <dimension ref="A1:T203"/>
  <sheetViews>
    <sheetView topLeftCell="D199" zoomScaleNormal="100" workbookViewId="0">
      <selection activeCell="L15" sqref="L15"/>
    </sheetView>
  </sheetViews>
  <sheetFormatPr defaultRowHeight="15" x14ac:dyDescent="0.25"/>
  <cols>
    <col min="4" max="4" width="17" customWidth="1"/>
    <col min="9" max="9" width="13.7109375" customWidth="1"/>
    <col min="10" max="10" width="21.28515625" customWidth="1"/>
    <col min="11" max="11" width="20.28515625" customWidth="1"/>
    <col min="12" max="12" width="25.5703125" customWidth="1"/>
    <col min="13" max="13" width="15.85546875" customWidth="1"/>
    <col min="14" max="14" width="15.140625" customWidth="1"/>
    <col min="15" max="15" width="15.7109375" customWidth="1"/>
    <col min="16" max="16" width="16.5703125" customWidth="1"/>
    <col min="17" max="17" width="14.140625" customWidth="1"/>
    <col min="18" max="18" width="11.28515625" customWidth="1"/>
    <col min="19" max="19" width="10.85546875" customWidth="1"/>
    <col min="20" max="20" width="21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984</v>
      </c>
      <c r="L1" t="s">
        <v>985</v>
      </c>
      <c r="M1" t="s">
        <v>986</v>
      </c>
      <c r="N1" t="s">
        <v>987</v>
      </c>
      <c r="O1" t="s">
        <v>988</v>
      </c>
      <c r="P1" t="s">
        <v>989</v>
      </c>
      <c r="Q1" t="s">
        <v>995</v>
      </c>
      <c r="R1" t="s">
        <v>996</v>
      </c>
      <c r="S1" t="s">
        <v>997</v>
      </c>
      <c r="T1" t="s">
        <v>999</v>
      </c>
    </row>
    <row r="2" spans="1:20" x14ac:dyDescent="0.25">
      <c r="A2">
        <v>2016</v>
      </c>
      <c r="B2" t="s">
        <v>10</v>
      </c>
      <c r="C2">
        <v>8</v>
      </c>
      <c r="D2" t="s">
        <v>11</v>
      </c>
      <c r="E2" t="s">
        <v>12</v>
      </c>
      <c r="F2" t="s">
        <v>13</v>
      </c>
      <c r="G2" s="1">
        <v>42538</v>
      </c>
      <c r="H2" t="s">
        <v>14</v>
      </c>
      <c r="I2" t="s">
        <v>15</v>
      </c>
      <c r="J2" t="s">
        <v>16</v>
      </c>
      <c r="K2">
        <f>VALUE(_xlfn.TEXTBEFORE(_xlfn.TEXTAFTER(H2,"; ")," min"))</f>
        <v>730</v>
      </c>
      <c r="L2" t="str">
        <f>IF(ISNUMBER(SEARCH("Views",D2)),VALUE(LEFT(D2,FIND("M",D2)-1)),"")</f>
        <v/>
      </c>
      <c r="M2">
        <f>AVERAGE(C2:C201)</f>
        <v>7.6969999999999956</v>
      </c>
      <c r="N2">
        <f>MIN(C2:C201)</f>
        <v>4.3</v>
      </c>
      <c r="O2">
        <f>MAX(C2:C201)</f>
        <v>9.3000000000000007</v>
      </c>
      <c r="P2">
        <f>COUNTIF(C2:C201,"&gt;8")</f>
        <v>70</v>
      </c>
      <c r="Q2">
        <f>AVERAGE(L2:L201)</f>
        <v>49.154929577464777</v>
      </c>
      <c r="R2">
        <f>MIN(L2:L201)</f>
        <v>3.2</v>
      </c>
      <c r="S2">
        <f>MAX(L2:L201)</f>
        <v>482</v>
      </c>
      <c r="T2">
        <f>CORREL(L2:L201,C2:C201)</f>
        <v>6.3886466909483103E-3</v>
      </c>
    </row>
    <row r="3" spans="1:20" x14ac:dyDescent="0.25">
      <c r="A3">
        <v>2016</v>
      </c>
      <c r="B3" t="s">
        <v>17</v>
      </c>
      <c r="C3">
        <v>8.6999999999999993</v>
      </c>
      <c r="D3" t="s">
        <v>18</v>
      </c>
      <c r="E3" t="s">
        <v>19</v>
      </c>
      <c r="F3" t="s">
        <v>20</v>
      </c>
      <c r="G3" s="1">
        <v>42566</v>
      </c>
      <c r="H3" t="s">
        <v>21</v>
      </c>
      <c r="I3" t="s">
        <v>15</v>
      </c>
      <c r="J3" t="s">
        <v>22</v>
      </c>
      <c r="K3">
        <f t="shared" ref="K3:K66" si="0">VALUE(_xlfn.TEXTBEFORE(_xlfn.TEXTAFTER(H3,"; ")," min"))</f>
        <v>400</v>
      </c>
      <c r="L3" t="str">
        <f t="shared" ref="L3:L66" si="1">IF(ISNUMBER(SEARCH("Views",D3)),VALUE(LEFT(D3,FIND("M",D3)-1)),"")</f>
        <v/>
      </c>
      <c r="P3" t="s">
        <v>990</v>
      </c>
    </row>
    <row r="4" spans="1:20" x14ac:dyDescent="0.25">
      <c r="A4">
        <v>2016</v>
      </c>
      <c r="B4" t="s">
        <v>23</v>
      </c>
      <c r="C4">
        <v>6.7</v>
      </c>
      <c r="D4" t="s">
        <v>24</v>
      </c>
      <c r="E4" t="s">
        <v>25</v>
      </c>
      <c r="F4" t="s">
        <v>26</v>
      </c>
      <c r="G4" s="1">
        <v>42425</v>
      </c>
      <c r="H4" t="s">
        <v>27</v>
      </c>
      <c r="I4" t="s">
        <v>15</v>
      </c>
      <c r="J4" t="s">
        <v>28</v>
      </c>
      <c r="K4">
        <f t="shared" si="0"/>
        <v>390</v>
      </c>
      <c r="L4" t="str">
        <f t="shared" si="1"/>
        <v/>
      </c>
      <c r="P4">
        <f>70/200</f>
        <v>0.35</v>
      </c>
    </row>
    <row r="5" spans="1:20" x14ac:dyDescent="0.25">
      <c r="A5">
        <v>2016</v>
      </c>
      <c r="B5" t="s">
        <v>29</v>
      </c>
      <c r="C5">
        <v>7.3</v>
      </c>
      <c r="D5" t="s">
        <v>30</v>
      </c>
      <c r="E5" t="s">
        <v>31</v>
      </c>
      <c r="F5" t="s">
        <v>32</v>
      </c>
      <c r="G5" s="1">
        <v>42643</v>
      </c>
      <c r="H5" t="s">
        <v>33</v>
      </c>
      <c r="I5" t="s">
        <v>15</v>
      </c>
      <c r="J5" t="s">
        <v>34</v>
      </c>
      <c r="K5">
        <f t="shared" si="0"/>
        <v>715</v>
      </c>
      <c r="L5" t="str">
        <f t="shared" si="1"/>
        <v/>
      </c>
    </row>
    <row r="6" spans="1:20" x14ac:dyDescent="0.25">
      <c r="A6">
        <v>2016</v>
      </c>
      <c r="B6" t="s">
        <v>35</v>
      </c>
      <c r="C6">
        <v>8.6</v>
      </c>
      <c r="D6" t="s">
        <v>36</v>
      </c>
      <c r="E6" t="s">
        <v>37</v>
      </c>
      <c r="F6" t="s">
        <v>38</v>
      </c>
      <c r="G6" s="1">
        <v>42447</v>
      </c>
      <c r="H6" t="s">
        <v>39</v>
      </c>
      <c r="I6" t="s">
        <v>15</v>
      </c>
      <c r="J6" t="s">
        <v>40</v>
      </c>
      <c r="K6">
        <f t="shared" si="0"/>
        <v>650</v>
      </c>
      <c r="L6" t="str">
        <f t="shared" si="1"/>
        <v/>
      </c>
    </row>
    <row r="7" spans="1:20" x14ac:dyDescent="0.25">
      <c r="A7">
        <v>2016</v>
      </c>
      <c r="B7" t="s">
        <v>41</v>
      </c>
      <c r="C7">
        <v>8.6</v>
      </c>
      <c r="D7" t="s">
        <v>42</v>
      </c>
      <c r="E7" t="s">
        <v>43</v>
      </c>
      <c r="F7" t="s">
        <v>44</v>
      </c>
      <c r="G7" s="1">
        <v>42678</v>
      </c>
      <c r="H7" t="s">
        <v>45</v>
      </c>
      <c r="I7" t="s">
        <v>46</v>
      </c>
      <c r="J7" t="s">
        <v>47</v>
      </c>
      <c r="K7">
        <f t="shared" si="0"/>
        <v>600</v>
      </c>
      <c r="L7" t="str">
        <f t="shared" si="1"/>
        <v/>
      </c>
    </row>
    <row r="8" spans="1:20" x14ac:dyDescent="0.25">
      <c r="A8">
        <v>2016</v>
      </c>
      <c r="B8" t="s">
        <v>48</v>
      </c>
      <c r="C8">
        <v>7.6</v>
      </c>
      <c r="D8" t="s">
        <v>49</v>
      </c>
      <c r="E8" t="s">
        <v>50</v>
      </c>
      <c r="F8" t="s">
        <v>51</v>
      </c>
      <c r="G8" s="1">
        <v>42699</v>
      </c>
      <c r="H8" t="s">
        <v>52</v>
      </c>
      <c r="I8" t="s">
        <v>15</v>
      </c>
      <c r="J8" t="s">
        <v>53</v>
      </c>
      <c r="K8">
        <f t="shared" si="0"/>
        <v>360</v>
      </c>
      <c r="L8" t="str">
        <f t="shared" si="1"/>
        <v/>
      </c>
    </row>
    <row r="9" spans="1:20" x14ac:dyDescent="0.25">
      <c r="A9">
        <v>2016</v>
      </c>
      <c r="B9" t="s">
        <v>54</v>
      </c>
      <c r="C9">
        <v>7.5</v>
      </c>
      <c r="D9" t="s">
        <v>55</v>
      </c>
      <c r="E9" t="s">
        <v>56</v>
      </c>
      <c r="F9" t="s">
        <v>57</v>
      </c>
      <c r="G9" s="1">
        <v>42461</v>
      </c>
      <c r="H9" t="s">
        <v>58</v>
      </c>
      <c r="I9" t="s">
        <v>15</v>
      </c>
      <c r="J9" t="s">
        <v>59</v>
      </c>
      <c r="K9">
        <f t="shared" si="0"/>
        <v>300</v>
      </c>
      <c r="L9" t="str">
        <f t="shared" si="1"/>
        <v/>
      </c>
    </row>
    <row r="10" spans="1:20" x14ac:dyDescent="0.25">
      <c r="A10">
        <v>2016</v>
      </c>
      <c r="B10" t="s">
        <v>60</v>
      </c>
      <c r="C10">
        <v>8.1</v>
      </c>
      <c r="D10" t="s">
        <v>61</v>
      </c>
      <c r="E10" t="s">
        <v>62</v>
      </c>
      <c r="F10" t="s">
        <v>63</v>
      </c>
      <c r="G10" s="1">
        <v>42415</v>
      </c>
      <c r="H10" t="s">
        <v>64</v>
      </c>
      <c r="I10" t="s">
        <v>15</v>
      </c>
      <c r="J10" t="s">
        <v>65</v>
      </c>
      <c r="K10">
        <f t="shared" si="0"/>
        <v>440</v>
      </c>
      <c r="L10" t="str">
        <f t="shared" si="1"/>
        <v/>
      </c>
    </row>
    <row r="11" spans="1:20" x14ac:dyDescent="0.25">
      <c r="A11">
        <v>2016</v>
      </c>
      <c r="B11" s="2">
        <v>0.03</v>
      </c>
      <c r="C11">
        <v>7.3</v>
      </c>
      <c r="D11" t="s">
        <v>66</v>
      </c>
      <c r="E11" t="s">
        <v>67</v>
      </c>
      <c r="F11" t="s">
        <v>68</v>
      </c>
      <c r="G11" s="1">
        <v>42699</v>
      </c>
      <c r="H11" t="s">
        <v>69</v>
      </c>
      <c r="I11" t="s">
        <v>70</v>
      </c>
      <c r="J11" t="s">
        <v>71</v>
      </c>
      <c r="K11">
        <f t="shared" si="0"/>
        <v>380</v>
      </c>
      <c r="L11" t="str">
        <f t="shared" si="1"/>
        <v/>
      </c>
    </row>
    <row r="12" spans="1:20" x14ac:dyDescent="0.25">
      <c r="A12">
        <v>2016</v>
      </c>
      <c r="B12" t="s">
        <v>72</v>
      </c>
      <c r="C12">
        <v>7.7</v>
      </c>
      <c r="D12" t="s">
        <v>73</v>
      </c>
      <c r="E12" t="s">
        <v>74</v>
      </c>
      <c r="F12" t="s">
        <v>75</v>
      </c>
      <c r="G12" s="1">
        <v>42419</v>
      </c>
      <c r="H12" t="s">
        <v>76</v>
      </c>
      <c r="I12" t="s">
        <v>15</v>
      </c>
      <c r="J12" t="s">
        <v>77</v>
      </c>
      <c r="K12">
        <f t="shared" si="0"/>
        <v>300</v>
      </c>
      <c r="L12" t="str">
        <f t="shared" si="1"/>
        <v/>
      </c>
    </row>
    <row r="13" spans="1:20" x14ac:dyDescent="0.25">
      <c r="A13">
        <v>2016</v>
      </c>
      <c r="B13" t="s">
        <v>78</v>
      </c>
      <c r="C13">
        <v>8.8000000000000007</v>
      </c>
      <c r="D13" t="s">
        <v>79</v>
      </c>
      <c r="E13" t="s">
        <v>80</v>
      </c>
      <c r="F13" t="s">
        <v>81</v>
      </c>
      <c r="G13" s="1">
        <v>42615</v>
      </c>
      <c r="H13" t="s">
        <v>82</v>
      </c>
      <c r="I13" t="s">
        <v>83</v>
      </c>
      <c r="J13" t="s">
        <v>84</v>
      </c>
      <c r="K13">
        <f t="shared" si="0"/>
        <v>500</v>
      </c>
      <c r="L13" t="str">
        <f t="shared" si="1"/>
        <v/>
      </c>
    </row>
    <row r="14" spans="1:20" x14ac:dyDescent="0.25">
      <c r="A14">
        <v>2016</v>
      </c>
      <c r="B14" t="s">
        <v>85</v>
      </c>
      <c r="C14">
        <v>8.6999999999999993</v>
      </c>
      <c r="D14" t="s">
        <v>86</v>
      </c>
      <c r="E14" t="s">
        <v>87</v>
      </c>
      <c r="F14" t="s">
        <v>88</v>
      </c>
      <c r="G14" s="1">
        <v>42664</v>
      </c>
      <c r="H14" t="s">
        <v>89</v>
      </c>
      <c r="I14" t="s">
        <v>90</v>
      </c>
      <c r="J14" t="s">
        <v>91</v>
      </c>
      <c r="K14">
        <f t="shared" si="0"/>
        <v>360</v>
      </c>
      <c r="L14" t="str">
        <f t="shared" si="1"/>
        <v/>
      </c>
    </row>
    <row r="15" spans="1:20" x14ac:dyDescent="0.25">
      <c r="A15">
        <v>2016</v>
      </c>
      <c r="B15" t="s">
        <v>92</v>
      </c>
      <c r="C15">
        <v>7.9</v>
      </c>
      <c r="D15" t="s">
        <v>93</v>
      </c>
      <c r="E15" t="s">
        <v>94</v>
      </c>
      <c r="F15" t="s">
        <v>95</v>
      </c>
      <c r="G15" s="1">
        <v>42517</v>
      </c>
      <c r="H15" t="s">
        <v>96</v>
      </c>
      <c r="I15" t="s">
        <v>15</v>
      </c>
      <c r="J15" t="s">
        <v>97</v>
      </c>
      <c r="K15">
        <f t="shared" si="0"/>
        <v>600</v>
      </c>
      <c r="L15" t="str">
        <f t="shared" si="1"/>
        <v/>
      </c>
    </row>
    <row r="16" spans="1:20" x14ac:dyDescent="0.25">
      <c r="A16">
        <v>2016</v>
      </c>
      <c r="B16" t="s">
        <v>98</v>
      </c>
      <c r="C16">
        <v>8.3000000000000007</v>
      </c>
      <c r="D16" t="s">
        <v>99</v>
      </c>
      <c r="E16" t="s">
        <v>100</v>
      </c>
      <c r="F16" t="s">
        <v>101</v>
      </c>
      <c r="G16" s="1">
        <v>42636</v>
      </c>
      <c r="H16" t="s">
        <v>102</v>
      </c>
      <c r="I16" t="s">
        <v>15</v>
      </c>
      <c r="J16" t="s">
        <v>84</v>
      </c>
      <c r="K16">
        <f t="shared" si="0"/>
        <v>600</v>
      </c>
      <c r="L16" t="str">
        <f t="shared" si="1"/>
        <v/>
      </c>
    </row>
    <row r="17" spans="1:12" x14ac:dyDescent="0.25">
      <c r="A17">
        <v>2016</v>
      </c>
      <c r="B17" t="s">
        <v>103</v>
      </c>
      <c r="C17">
        <v>7.2</v>
      </c>
      <c r="D17" t="s">
        <v>104</v>
      </c>
      <c r="E17" t="s">
        <v>105</v>
      </c>
      <c r="F17" t="s">
        <v>106</v>
      </c>
      <c r="G17" s="1">
        <v>42392</v>
      </c>
      <c r="H17" t="s">
        <v>107</v>
      </c>
      <c r="I17" t="s">
        <v>15</v>
      </c>
      <c r="J17" t="s">
        <v>108</v>
      </c>
      <c r="K17">
        <f t="shared" si="0"/>
        <v>240</v>
      </c>
      <c r="L17" t="str">
        <f t="shared" si="1"/>
        <v/>
      </c>
    </row>
    <row r="18" spans="1:12" x14ac:dyDescent="0.25">
      <c r="A18">
        <v>2016</v>
      </c>
      <c r="B18" t="s">
        <v>109</v>
      </c>
      <c r="C18">
        <v>7.2</v>
      </c>
      <c r="D18" t="s">
        <v>110</v>
      </c>
      <c r="E18" t="s">
        <v>111</v>
      </c>
      <c r="F18" t="s">
        <v>112</v>
      </c>
      <c r="G18" s="1">
        <v>42440</v>
      </c>
      <c r="H18" t="s">
        <v>113</v>
      </c>
      <c r="I18" t="s">
        <v>15</v>
      </c>
      <c r="J18" t="s">
        <v>114</v>
      </c>
      <c r="K18">
        <f t="shared" si="0"/>
        <v>240</v>
      </c>
      <c r="L18" t="str">
        <f t="shared" si="1"/>
        <v/>
      </c>
    </row>
    <row r="19" spans="1:12" x14ac:dyDescent="0.25">
      <c r="A19">
        <v>2016</v>
      </c>
      <c r="B19" t="s">
        <v>115</v>
      </c>
      <c r="C19">
        <v>8.8000000000000007</v>
      </c>
      <c r="D19" t="s">
        <v>116</v>
      </c>
      <c r="E19" t="s">
        <v>117</v>
      </c>
      <c r="F19" t="s">
        <v>118</v>
      </c>
      <c r="G19" s="1">
        <v>42573</v>
      </c>
      <c r="H19" t="s">
        <v>119</v>
      </c>
      <c r="I19" t="s">
        <v>15</v>
      </c>
      <c r="J19" t="s">
        <v>120</v>
      </c>
      <c r="K19">
        <f t="shared" si="0"/>
        <v>300</v>
      </c>
      <c r="L19" t="str">
        <f t="shared" si="1"/>
        <v/>
      </c>
    </row>
    <row r="20" spans="1:12" x14ac:dyDescent="0.25">
      <c r="A20">
        <v>2016</v>
      </c>
      <c r="B20" t="s">
        <v>121</v>
      </c>
      <c r="C20">
        <v>8</v>
      </c>
      <c r="D20" t="s">
        <v>122</v>
      </c>
      <c r="E20" t="s">
        <v>123</v>
      </c>
      <c r="F20" t="s">
        <v>124</v>
      </c>
      <c r="G20" s="1">
        <v>42552</v>
      </c>
      <c r="H20" t="s">
        <v>96</v>
      </c>
      <c r="I20" t="s">
        <v>15</v>
      </c>
      <c r="J20" t="s">
        <v>125</v>
      </c>
      <c r="K20">
        <f t="shared" si="0"/>
        <v>600</v>
      </c>
      <c r="L20" t="str">
        <f t="shared" si="1"/>
        <v/>
      </c>
    </row>
    <row r="21" spans="1:12" x14ac:dyDescent="0.25">
      <c r="A21">
        <v>2016</v>
      </c>
      <c r="B21" t="s">
        <v>126</v>
      </c>
      <c r="C21">
        <v>7.4</v>
      </c>
      <c r="D21" t="s">
        <v>127</v>
      </c>
      <c r="E21" t="s">
        <v>128</v>
      </c>
      <c r="F21" t="s">
        <v>129</v>
      </c>
      <c r="G21" s="1">
        <v>42510</v>
      </c>
      <c r="H21" t="s">
        <v>130</v>
      </c>
      <c r="I21" t="s">
        <v>15</v>
      </c>
      <c r="J21" t="s">
        <v>131</v>
      </c>
      <c r="K21">
        <f t="shared" si="0"/>
        <v>360</v>
      </c>
      <c r="L21" t="str">
        <f t="shared" si="1"/>
        <v/>
      </c>
    </row>
    <row r="22" spans="1:12" x14ac:dyDescent="0.25">
      <c r="A22">
        <v>2017</v>
      </c>
      <c r="B22" t="s">
        <v>132</v>
      </c>
      <c r="C22">
        <v>7.5</v>
      </c>
      <c r="D22" t="s">
        <v>133</v>
      </c>
      <c r="E22" t="s">
        <v>134</v>
      </c>
      <c r="F22" t="s">
        <v>135</v>
      </c>
      <c r="G22" s="1">
        <v>42825</v>
      </c>
      <c r="H22" t="s">
        <v>136</v>
      </c>
      <c r="I22" t="s">
        <v>15</v>
      </c>
      <c r="J22" t="s">
        <v>137</v>
      </c>
      <c r="K22">
        <f t="shared" si="0"/>
        <v>780</v>
      </c>
      <c r="L22" t="str">
        <f t="shared" si="1"/>
        <v/>
      </c>
    </row>
    <row r="23" spans="1:12" x14ac:dyDescent="0.25">
      <c r="A23">
        <v>2017</v>
      </c>
      <c r="B23" t="s">
        <v>138</v>
      </c>
      <c r="C23">
        <v>8.1999999999999993</v>
      </c>
      <c r="D23" t="s">
        <v>139</v>
      </c>
      <c r="E23" t="s">
        <v>140</v>
      </c>
      <c r="F23" t="s">
        <v>141</v>
      </c>
      <c r="G23" s="1">
        <v>42857</v>
      </c>
      <c r="H23" t="s">
        <v>142</v>
      </c>
      <c r="I23" t="s">
        <v>143</v>
      </c>
      <c r="J23" t="s">
        <v>144</v>
      </c>
      <c r="K23">
        <f t="shared" si="0"/>
        <v>600</v>
      </c>
      <c r="L23" t="str">
        <f t="shared" si="1"/>
        <v/>
      </c>
    </row>
    <row r="24" spans="1:12" x14ac:dyDescent="0.25">
      <c r="A24">
        <v>2017</v>
      </c>
      <c r="B24" t="s">
        <v>145</v>
      </c>
      <c r="C24">
        <v>8.1999999999999993</v>
      </c>
      <c r="D24" t="s">
        <v>146</v>
      </c>
      <c r="E24" t="s">
        <v>147</v>
      </c>
      <c r="F24" t="s">
        <v>148</v>
      </c>
      <c r="G24" s="1">
        <v>42993</v>
      </c>
      <c r="H24" t="s">
        <v>113</v>
      </c>
      <c r="I24" t="s">
        <v>15</v>
      </c>
      <c r="J24" t="s">
        <v>149</v>
      </c>
      <c r="K24">
        <f t="shared" si="0"/>
        <v>240</v>
      </c>
      <c r="L24">
        <f t="shared" si="1"/>
        <v>12.4</v>
      </c>
    </row>
    <row r="25" spans="1:12" x14ac:dyDescent="0.25">
      <c r="A25">
        <v>2017</v>
      </c>
      <c r="B25" t="s">
        <v>150</v>
      </c>
      <c r="C25">
        <v>8.5</v>
      </c>
      <c r="D25" t="s">
        <v>151</v>
      </c>
      <c r="E25" t="s">
        <v>152</v>
      </c>
      <c r="F25" t="s">
        <v>153</v>
      </c>
      <c r="G25" s="1">
        <v>42937</v>
      </c>
      <c r="H25" t="s">
        <v>45</v>
      </c>
      <c r="I25" t="s">
        <v>15</v>
      </c>
      <c r="J25" t="s">
        <v>84</v>
      </c>
      <c r="K25">
        <f t="shared" si="0"/>
        <v>600</v>
      </c>
      <c r="L25" t="str">
        <f t="shared" si="1"/>
        <v/>
      </c>
    </row>
    <row r="26" spans="1:12" x14ac:dyDescent="0.25">
      <c r="A26">
        <v>2017</v>
      </c>
      <c r="B26" t="s">
        <v>154</v>
      </c>
      <c r="C26">
        <v>8.6</v>
      </c>
      <c r="D26" t="s">
        <v>155</v>
      </c>
      <c r="E26" t="s">
        <v>156</v>
      </c>
      <c r="F26" t="s">
        <v>157</v>
      </c>
      <c r="G26" s="1">
        <v>43021</v>
      </c>
      <c r="H26" t="s">
        <v>158</v>
      </c>
      <c r="I26" t="s">
        <v>15</v>
      </c>
      <c r="J26" t="s">
        <v>84</v>
      </c>
      <c r="K26">
        <f t="shared" si="0"/>
        <v>500</v>
      </c>
      <c r="L26">
        <f t="shared" si="1"/>
        <v>15.5</v>
      </c>
    </row>
    <row r="27" spans="1:12" x14ac:dyDescent="0.25">
      <c r="A27">
        <v>2017</v>
      </c>
      <c r="B27" t="s">
        <v>159</v>
      </c>
      <c r="C27">
        <v>8.6999999999999993</v>
      </c>
      <c r="D27" t="s">
        <v>160</v>
      </c>
      <c r="E27" t="s">
        <v>161</v>
      </c>
      <c r="F27" t="s">
        <v>162</v>
      </c>
      <c r="G27" s="1">
        <v>42813</v>
      </c>
      <c r="H27" t="s">
        <v>163</v>
      </c>
      <c r="I27" t="s">
        <v>164</v>
      </c>
      <c r="J27" t="s">
        <v>53</v>
      </c>
      <c r="K27">
        <f t="shared" si="0"/>
        <v>330</v>
      </c>
      <c r="L27">
        <f t="shared" si="1"/>
        <v>7.4</v>
      </c>
    </row>
    <row r="28" spans="1:12" x14ac:dyDescent="0.25">
      <c r="A28">
        <v>2017</v>
      </c>
      <c r="B28" s="2">
        <v>0.03</v>
      </c>
      <c r="C28">
        <v>7.3</v>
      </c>
      <c r="D28" t="s">
        <v>165</v>
      </c>
      <c r="E28" t="s">
        <v>67</v>
      </c>
      <c r="F28" t="s">
        <v>68</v>
      </c>
      <c r="G28" s="1">
        <v>42699</v>
      </c>
      <c r="H28" t="s">
        <v>69</v>
      </c>
      <c r="I28" t="s">
        <v>70</v>
      </c>
      <c r="J28" t="s">
        <v>166</v>
      </c>
      <c r="K28">
        <f t="shared" si="0"/>
        <v>380</v>
      </c>
      <c r="L28">
        <f t="shared" si="1"/>
        <v>4.5</v>
      </c>
    </row>
    <row r="29" spans="1:12" x14ac:dyDescent="0.25">
      <c r="A29">
        <v>2017</v>
      </c>
      <c r="B29" t="s">
        <v>167</v>
      </c>
      <c r="C29">
        <v>8</v>
      </c>
      <c r="D29" t="s">
        <v>168</v>
      </c>
      <c r="E29" t="s">
        <v>169</v>
      </c>
      <c r="F29" t="s">
        <v>170</v>
      </c>
      <c r="G29" s="1">
        <v>42727</v>
      </c>
      <c r="H29" t="s">
        <v>171</v>
      </c>
      <c r="I29" t="s">
        <v>172</v>
      </c>
      <c r="J29" t="s">
        <v>173</v>
      </c>
      <c r="K29">
        <f t="shared" si="0"/>
        <v>540</v>
      </c>
      <c r="L29">
        <f t="shared" si="1"/>
        <v>7.1</v>
      </c>
    </row>
    <row r="30" spans="1:12" x14ac:dyDescent="0.25">
      <c r="A30">
        <v>2017</v>
      </c>
      <c r="B30" t="s">
        <v>174</v>
      </c>
      <c r="C30">
        <v>7.8</v>
      </c>
      <c r="D30" t="s">
        <v>175</v>
      </c>
      <c r="E30" t="s">
        <v>176</v>
      </c>
      <c r="F30" t="s">
        <v>177</v>
      </c>
      <c r="G30" s="1">
        <v>42720</v>
      </c>
      <c r="H30" t="s">
        <v>178</v>
      </c>
      <c r="I30" t="s">
        <v>15</v>
      </c>
      <c r="J30" t="s">
        <v>179</v>
      </c>
      <c r="K30">
        <f t="shared" si="0"/>
        <v>480</v>
      </c>
      <c r="L30">
        <f t="shared" si="1"/>
        <v>4.9000000000000004</v>
      </c>
    </row>
    <row r="31" spans="1:12" x14ac:dyDescent="0.25">
      <c r="A31">
        <v>2017</v>
      </c>
      <c r="B31" t="s">
        <v>180</v>
      </c>
      <c r="C31">
        <v>6.9</v>
      </c>
      <c r="D31" t="s">
        <v>181</v>
      </c>
      <c r="E31" t="s">
        <v>182</v>
      </c>
      <c r="F31" t="s">
        <v>183</v>
      </c>
      <c r="G31" s="1">
        <v>42818</v>
      </c>
      <c r="H31" t="s">
        <v>184</v>
      </c>
      <c r="I31" t="s">
        <v>185</v>
      </c>
      <c r="J31" t="s">
        <v>186</v>
      </c>
      <c r="K31">
        <f t="shared" si="0"/>
        <v>450</v>
      </c>
      <c r="L31">
        <f t="shared" si="1"/>
        <v>5.3</v>
      </c>
    </row>
    <row r="32" spans="1:12" x14ac:dyDescent="0.25">
      <c r="A32">
        <v>2017</v>
      </c>
      <c r="B32" t="s">
        <v>187</v>
      </c>
      <c r="C32">
        <v>8.1</v>
      </c>
      <c r="D32" t="s">
        <v>188</v>
      </c>
      <c r="E32" t="s">
        <v>189</v>
      </c>
      <c r="F32" t="s">
        <v>190</v>
      </c>
      <c r="G32" s="1">
        <v>42874</v>
      </c>
      <c r="H32" t="s">
        <v>191</v>
      </c>
      <c r="I32" t="s">
        <v>15</v>
      </c>
      <c r="J32" t="s">
        <v>192</v>
      </c>
      <c r="K32">
        <f t="shared" si="0"/>
        <v>420</v>
      </c>
      <c r="L32">
        <f t="shared" si="1"/>
        <v>6.8</v>
      </c>
    </row>
    <row r="33" spans="1:12" x14ac:dyDescent="0.25">
      <c r="A33">
        <v>2017</v>
      </c>
      <c r="B33" t="s">
        <v>193</v>
      </c>
      <c r="C33">
        <v>7.5</v>
      </c>
      <c r="D33" t="s">
        <v>194</v>
      </c>
      <c r="E33" t="s">
        <v>195</v>
      </c>
      <c r="F33" t="s">
        <v>190</v>
      </c>
      <c r="G33" s="1">
        <v>42985</v>
      </c>
      <c r="H33" t="s">
        <v>76</v>
      </c>
      <c r="I33" t="s">
        <v>15</v>
      </c>
      <c r="J33" t="s">
        <v>192</v>
      </c>
      <c r="K33">
        <f t="shared" si="0"/>
        <v>300</v>
      </c>
      <c r="L33">
        <f t="shared" si="1"/>
        <v>5.0999999999999996</v>
      </c>
    </row>
    <row r="34" spans="1:12" x14ac:dyDescent="0.25">
      <c r="A34">
        <v>2017</v>
      </c>
      <c r="B34" t="s">
        <v>41</v>
      </c>
      <c r="C34">
        <v>8.6</v>
      </c>
      <c r="D34" t="s">
        <v>196</v>
      </c>
      <c r="E34" t="s">
        <v>43</v>
      </c>
      <c r="F34" t="s">
        <v>44</v>
      </c>
      <c r="G34" s="1">
        <v>43077</v>
      </c>
      <c r="H34" t="s">
        <v>96</v>
      </c>
      <c r="I34" t="s">
        <v>90</v>
      </c>
      <c r="J34" t="s">
        <v>47</v>
      </c>
      <c r="K34">
        <f t="shared" si="0"/>
        <v>600</v>
      </c>
      <c r="L34" t="str">
        <f t="shared" si="1"/>
        <v/>
      </c>
    </row>
    <row r="35" spans="1:12" x14ac:dyDescent="0.25">
      <c r="A35">
        <v>2017</v>
      </c>
      <c r="B35" t="s">
        <v>197</v>
      </c>
      <c r="C35">
        <v>7.9</v>
      </c>
      <c r="D35" t="s">
        <v>198</v>
      </c>
      <c r="E35" t="s">
        <v>199</v>
      </c>
      <c r="F35" t="s">
        <v>200</v>
      </c>
      <c r="G35" s="1">
        <v>43007</v>
      </c>
      <c r="H35" t="s">
        <v>76</v>
      </c>
      <c r="I35" t="s">
        <v>15</v>
      </c>
      <c r="J35" t="s">
        <v>120</v>
      </c>
      <c r="K35">
        <f t="shared" si="0"/>
        <v>300</v>
      </c>
      <c r="L35">
        <f t="shared" si="1"/>
        <v>10.1</v>
      </c>
    </row>
    <row r="36" spans="1:12" x14ac:dyDescent="0.25">
      <c r="A36">
        <v>2017</v>
      </c>
      <c r="B36" t="s">
        <v>201</v>
      </c>
      <c r="C36">
        <v>5.8</v>
      </c>
      <c r="D36" t="s">
        <v>202</v>
      </c>
      <c r="E36" t="s">
        <v>203</v>
      </c>
      <c r="F36" t="s">
        <v>204</v>
      </c>
      <c r="G36" s="1">
        <v>43000</v>
      </c>
      <c r="H36" t="s">
        <v>205</v>
      </c>
      <c r="I36" t="s">
        <v>206</v>
      </c>
      <c r="J36" t="s">
        <v>207</v>
      </c>
      <c r="K36">
        <f t="shared" si="0"/>
        <v>140</v>
      </c>
      <c r="L36">
        <f t="shared" si="1"/>
        <v>3.2</v>
      </c>
    </row>
    <row r="37" spans="1:12" x14ac:dyDescent="0.25">
      <c r="A37">
        <v>2017</v>
      </c>
      <c r="B37" t="s">
        <v>208</v>
      </c>
      <c r="C37">
        <v>7.8</v>
      </c>
      <c r="D37" t="s">
        <v>209</v>
      </c>
      <c r="E37" t="s">
        <v>210</v>
      </c>
      <c r="F37" t="s">
        <v>211</v>
      </c>
      <c r="G37" s="1">
        <v>42748</v>
      </c>
      <c r="H37" t="s">
        <v>21</v>
      </c>
      <c r="I37" t="s">
        <v>15</v>
      </c>
      <c r="J37" t="s">
        <v>212</v>
      </c>
      <c r="K37">
        <f t="shared" si="0"/>
        <v>400</v>
      </c>
      <c r="L37">
        <f t="shared" si="1"/>
        <v>10.5</v>
      </c>
    </row>
    <row r="38" spans="1:12" x14ac:dyDescent="0.25">
      <c r="A38">
        <v>2017</v>
      </c>
      <c r="B38" t="s">
        <v>213</v>
      </c>
      <c r="C38">
        <v>8</v>
      </c>
      <c r="D38" t="s">
        <v>214</v>
      </c>
      <c r="E38" t="s">
        <v>215</v>
      </c>
      <c r="F38" t="s">
        <v>216</v>
      </c>
      <c r="G38" s="1">
        <v>42909</v>
      </c>
      <c r="H38" t="s">
        <v>76</v>
      </c>
      <c r="I38" t="s">
        <v>15</v>
      </c>
      <c r="J38" t="s">
        <v>217</v>
      </c>
      <c r="K38">
        <f t="shared" si="0"/>
        <v>300</v>
      </c>
      <c r="L38">
        <f t="shared" si="1"/>
        <v>8.5</v>
      </c>
    </row>
    <row r="39" spans="1:12" x14ac:dyDescent="0.25">
      <c r="A39">
        <v>2017</v>
      </c>
      <c r="B39" t="s">
        <v>218</v>
      </c>
      <c r="C39">
        <v>6.9</v>
      </c>
      <c r="D39" t="s">
        <v>219</v>
      </c>
      <c r="E39" t="s">
        <v>220</v>
      </c>
      <c r="F39" t="s">
        <v>221</v>
      </c>
      <c r="G39" s="1">
        <v>42930</v>
      </c>
      <c r="H39" t="s">
        <v>113</v>
      </c>
      <c r="I39" t="s">
        <v>15</v>
      </c>
      <c r="J39" t="s">
        <v>222</v>
      </c>
      <c r="K39">
        <f t="shared" si="0"/>
        <v>240</v>
      </c>
      <c r="L39">
        <f t="shared" si="1"/>
        <v>4.8</v>
      </c>
    </row>
    <row r="40" spans="1:12" x14ac:dyDescent="0.25">
      <c r="A40">
        <v>2017</v>
      </c>
      <c r="B40" t="s">
        <v>223</v>
      </c>
      <c r="C40">
        <v>8.1999999999999993</v>
      </c>
      <c r="D40" t="s">
        <v>224</v>
      </c>
      <c r="E40" t="s">
        <v>225</v>
      </c>
      <c r="F40" t="s">
        <v>226</v>
      </c>
      <c r="G40" s="1">
        <v>42958</v>
      </c>
      <c r="H40" t="s">
        <v>113</v>
      </c>
      <c r="I40" t="s">
        <v>15</v>
      </c>
      <c r="J40" t="s">
        <v>227</v>
      </c>
      <c r="K40">
        <f t="shared" si="0"/>
        <v>240</v>
      </c>
      <c r="L40">
        <f t="shared" si="1"/>
        <v>8.1</v>
      </c>
    </row>
    <row r="41" spans="1:12" x14ac:dyDescent="0.25">
      <c r="A41">
        <v>2017</v>
      </c>
      <c r="B41" t="s">
        <v>228</v>
      </c>
      <c r="C41">
        <v>6.4</v>
      </c>
      <c r="D41" t="s">
        <v>229</v>
      </c>
      <c r="E41" t="s">
        <v>230</v>
      </c>
      <c r="F41" t="s">
        <v>231</v>
      </c>
      <c r="G41" s="1">
        <v>42853</v>
      </c>
      <c r="H41" t="s">
        <v>232</v>
      </c>
      <c r="I41" t="s">
        <v>15</v>
      </c>
      <c r="J41" t="s">
        <v>233</v>
      </c>
      <c r="K41">
        <f t="shared" si="0"/>
        <v>300</v>
      </c>
      <c r="L41">
        <f t="shared" si="1"/>
        <v>5.2</v>
      </c>
    </row>
    <row r="42" spans="1:12" x14ac:dyDescent="0.25">
      <c r="A42">
        <v>2018</v>
      </c>
      <c r="B42" t="s">
        <v>234</v>
      </c>
      <c r="C42">
        <v>7.9</v>
      </c>
      <c r="D42" t="s">
        <v>235</v>
      </c>
      <c r="E42" t="s">
        <v>236</v>
      </c>
      <c r="F42" t="s">
        <v>237</v>
      </c>
      <c r="G42" s="1">
        <v>43175</v>
      </c>
      <c r="H42" t="s">
        <v>76</v>
      </c>
      <c r="I42" t="s">
        <v>15</v>
      </c>
      <c r="J42" t="s">
        <v>238</v>
      </c>
      <c r="K42">
        <f t="shared" si="0"/>
        <v>300</v>
      </c>
      <c r="L42" t="str">
        <f t="shared" si="1"/>
        <v/>
      </c>
    </row>
    <row r="43" spans="1:12" x14ac:dyDescent="0.25">
      <c r="A43">
        <v>2018</v>
      </c>
      <c r="B43" t="s">
        <v>239</v>
      </c>
      <c r="C43">
        <v>8.6</v>
      </c>
      <c r="D43" t="s">
        <v>240</v>
      </c>
      <c r="E43" t="s">
        <v>241</v>
      </c>
      <c r="F43" t="s">
        <v>242</v>
      </c>
      <c r="G43" s="1">
        <v>43392</v>
      </c>
      <c r="H43" t="s">
        <v>243</v>
      </c>
      <c r="I43" t="s">
        <v>15</v>
      </c>
      <c r="J43" t="s">
        <v>192</v>
      </c>
      <c r="K43">
        <f t="shared" si="0"/>
        <v>600</v>
      </c>
      <c r="L43" t="str">
        <f t="shared" si="1"/>
        <v/>
      </c>
    </row>
    <row r="44" spans="1:12" x14ac:dyDescent="0.25">
      <c r="A44">
        <v>2018</v>
      </c>
      <c r="B44" t="s">
        <v>132</v>
      </c>
      <c r="C44">
        <v>7.5</v>
      </c>
      <c r="D44" t="s">
        <v>244</v>
      </c>
      <c r="E44" t="s">
        <v>134</v>
      </c>
      <c r="F44" t="s">
        <v>245</v>
      </c>
      <c r="G44" s="1">
        <v>43238</v>
      </c>
      <c r="H44" t="s">
        <v>246</v>
      </c>
      <c r="I44" t="s">
        <v>15</v>
      </c>
      <c r="J44" t="s">
        <v>247</v>
      </c>
      <c r="K44">
        <f t="shared" si="0"/>
        <v>780</v>
      </c>
      <c r="L44" t="str">
        <f t="shared" si="1"/>
        <v/>
      </c>
    </row>
    <row r="45" spans="1:12" x14ac:dyDescent="0.25">
      <c r="A45">
        <v>2018</v>
      </c>
      <c r="B45" t="s">
        <v>248</v>
      </c>
      <c r="C45">
        <v>8.4</v>
      </c>
      <c r="D45" t="s">
        <v>224</v>
      </c>
      <c r="E45" t="s">
        <v>249</v>
      </c>
      <c r="F45" t="s">
        <v>190</v>
      </c>
      <c r="G45" s="1">
        <v>43301</v>
      </c>
      <c r="H45" t="s">
        <v>250</v>
      </c>
      <c r="I45" t="s">
        <v>15</v>
      </c>
      <c r="J45" t="s">
        <v>251</v>
      </c>
      <c r="K45">
        <f t="shared" si="0"/>
        <v>480</v>
      </c>
      <c r="L45">
        <f t="shared" si="1"/>
        <v>8.1</v>
      </c>
    </row>
    <row r="46" spans="1:12" x14ac:dyDescent="0.25">
      <c r="A46">
        <v>2018</v>
      </c>
      <c r="B46" t="s">
        <v>252</v>
      </c>
      <c r="C46">
        <v>8.1</v>
      </c>
      <c r="D46" t="s">
        <v>253</v>
      </c>
      <c r="E46" t="s">
        <v>254</v>
      </c>
      <c r="F46" t="s">
        <v>255</v>
      </c>
      <c r="G46" s="1">
        <v>43397</v>
      </c>
      <c r="H46" t="s">
        <v>130</v>
      </c>
      <c r="I46" t="s">
        <v>90</v>
      </c>
      <c r="J46" t="s">
        <v>256</v>
      </c>
      <c r="K46">
        <f t="shared" si="0"/>
        <v>360</v>
      </c>
      <c r="L46">
        <f t="shared" si="1"/>
        <v>14.2</v>
      </c>
    </row>
    <row r="47" spans="1:12" x14ac:dyDescent="0.25">
      <c r="A47">
        <v>2018</v>
      </c>
      <c r="B47" t="s">
        <v>257</v>
      </c>
      <c r="C47">
        <v>7.1</v>
      </c>
      <c r="D47" t="s">
        <v>258</v>
      </c>
      <c r="E47" t="s">
        <v>259</v>
      </c>
      <c r="F47" t="s">
        <v>260</v>
      </c>
      <c r="G47" s="1">
        <v>43196</v>
      </c>
      <c r="H47" t="s">
        <v>21</v>
      </c>
      <c r="I47" t="s">
        <v>15</v>
      </c>
      <c r="J47" t="s">
        <v>261</v>
      </c>
      <c r="K47">
        <f t="shared" si="0"/>
        <v>400</v>
      </c>
      <c r="L47">
        <f t="shared" si="1"/>
        <v>6.5</v>
      </c>
    </row>
    <row r="48" spans="1:12" x14ac:dyDescent="0.25">
      <c r="A48">
        <v>2018</v>
      </c>
      <c r="B48" t="s">
        <v>262</v>
      </c>
      <c r="C48">
        <v>8.5</v>
      </c>
      <c r="D48" t="s">
        <v>263</v>
      </c>
      <c r="E48" t="s">
        <v>264</v>
      </c>
      <c r="F48" t="s">
        <v>265</v>
      </c>
      <c r="G48" s="1">
        <v>43385</v>
      </c>
      <c r="H48" t="s">
        <v>266</v>
      </c>
      <c r="I48" t="s">
        <v>15</v>
      </c>
      <c r="J48" t="s">
        <v>267</v>
      </c>
      <c r="K48">
        <f t="shared" si="0"/>
        <v>570</v>
      </c>
      <c r="L48">
        <f t="shared" si="1"/>
        <v>15.7</v>
      </c>
    </row>
    <row r="49" spans="1:12" x14ac:dyDescent="0.25">
      <c r="A49">
        <v>2018</v>
      </c>
      <c r="B49" t="s">
        <v>159</v>
      </c>
      <c r="C49">
        <v>8.6999999999999993</v>
      </c>
      <c r="D49" t="s">
        <v>160</v>
      </c>
      <c r="E49" t="s">
        <v>268</v>
      </c>
      <c r="F49" t="s">
        <v>162</v>
      </c>
      <c r="G49" s="1">
        <v>43287</v>
      </c>
      <c r="H49" t="s">
        <v>269</v>
      </c>
      <c r="I49" t="s">
        <v>164</v>
      </c>
      <c r="J49" t="s">
        <v>53</v>
      </c>
      <c r="K49">
        <f t="shared" si="0"/>
        <v>450</v>
      </c>
      <c r="L49">
        <f t="shared" si="1"/>
        <v>7.4</v>
      </c>
    </row>
    <row r="50" spans="1:12" x14ac:dyDescent="0.25">
      <c r="A50">
        <v>2018</v>
      </c>
      <c r="B50" t="s">
        <v>270</v>
      </c>
      <c r="C50">
        <v>6.5</v>
      </c>
      <c r="D50" t="s">
        <v>271</v>
      </c>
      <c r="E50" t="s">
        <v>272</v>
      </c>
      <c r="F50" t="s">
        <v>273</v>
      </c>
      <c r="G50" s="1">
        <v>43322</v>
      </c>
      <c r="H50" t="s">
        <v>171</v>
      </c>
      <c r="I50" t="s">
        <v>15</v>
      </c>
      <c r="J50" t="s">
        <v>274</v>
      </c>
      <c r="K50">
        <f t="shared" si="0"/>
        <v>540</v>
      </c>
      <c r="L50">
        <f t="shared" si="1"/>
        <v>10.4</v>
      </c>
    </row>
    <row r="51" spans="1:12" x14ac:dyDescent="0.25">
      <c r="A51">
        <v>2018</v>
      </c>
      <c r="B51" t="s">
        <v>10</v>
      </c>
      <c r="C51">
        <v>8</v>
      </c>
      <c r="D51" t="s">
        <v>275</v>
      </c>
      <c r="E51" t="s">
        <v>12</v>
      </c>
      <c r="F51" t="s">
        <v>276</v>
      </c>
      <c r="G51" s="1">
        <v>43308</v>
      </c>
      <c r="H51" t="s">
        <v>277</v>
      </c>
      <c r="I51" t="s">
        <v>15</v>
      </c>
      <c r="J51" t="s">
        <v>16</v>
      </c>
      <c r="K51">
        <f t="shared" si="0"/>
        <v>780</v>
      </c>
      <c r="L51">
        <f t="shared" si="1"/>
        <v>50</v>
      </c>
    </row>
    <row r="52" spans="1:12" x14ac:dyDescent="0.25">
      <c r="A52">
        <v>2018</v>
      </c>
      <c r="B52" t="s">
        <v>278</v>
      </c>
      <c r="C52">
        <v>7.2</v>
      </c>
      <c r="D52" t="s">
        <v>279</v>
      </c>
      <c r="E52" t="s">
        <v>280</v>
      </c>
      <c r="F52" t="s">
        <v>281</v>
      </c>
      <c r="G52" s="1">
        <v>43378</v>
      </c>
      <c r="H52" t="s">
        <v>21</v>
      </c>
      <c r="I52" t="s">
        <v>143</v>
      </c>
      <c r="J52" t="s">
        <v>282</v>
      </c>
      <c r="K52">
        <f t="shared" si="0"/>
        <v>400</v>
      </c>
      <c r="L52">
        <f t="shared" si="1"/>
        <v>30</v>
      </c>
    </row>
    <row r="53" spans="1:12" x14ac:dyDescent="0.25">
      <c r="A53">
        <v>2018</v>
      </c>
      <c r="B53" t="s">
        <v>283</v>
      </c>
      <c r="C53">
        <v>7.4</v>
      </c>
      <c r="D53" t="s">
        <v>284</v>
      </c>
      <c r="E53" t="s">
        <v>285</v>
      </c>
      <c r="F53" t="s">
        <v>286</v>
      </c>
      <c r="G53" s="1">
        <v>43399</v>
      </c>
      <c r="H53" t="s">
        <v>287</v>
      </c>
      <c r="I53" t="s">
        <v>15</v>
      </c>
      <c r="J53" t="s">
        <v>288</v>
      </c>
      <c r="K53">
        <f t="shared" si="0"/>
        <v>500</v>
      </c>
      <c r="L53">
        <f t="shared" si="1"/>
        <v>11.5</v>
      </c>
    </row>
    <row r="54" spans="1:12" x14ac:dyDescent="0.25">
      <c r="A54">
        <v>2018</v>
      </c>
      <c r="B54" t="s">
        <v>289</v>
      </c>
      <c r="C54">
        <v>8.4</v>
      </c>
      <c r="D54" t="s">
        <v>290</v>
      </c>
      <c r="E54" t="s">
        <v>291</v>
      </c>
      <c r="F54" t="s">
        <v>292</v>
      </c>
      <c r="G54" s="1">
        <v>43420</v>
      </c>
      <c r="H54" t="s">
        <v>293</v>
      </c>
      <c r="I54" t="s">
        <v>294</v>
      </c>
      <c r="J54" t="s">
        <v>84</v>
      </c>
      <c r="K54">
        <f t="shared" si="0"/>
        <v>550</v>
      </c>
      <c r="L54">
        <f t="shared" si="1"/>
        <v>12.8</v>
      </c>
    </row>
    <row r="55" spans="1:12" x14ac:dyDescent="0.25">
      <c r="A55">
        <v>2018</v>
      </c>
      <c r="B55" t="s">
        <v>295</v>
      </c>
      <c r="C55">
        <v>7.9</v>
      </c>
      <c r="D55" t="s">
        <v>296</v>
      </c>
      <c r="E55" t="s">
        <v>297</v>
      </c>
      <c r="F55" t="s">
        <v>298</v>
      </c>
      <c r="G55" s="1">
        <v>43511</v>
      </c>
      <c r="H55" t="s">
        <v>45</v>
      </c>
      <c r="I55" t="s">
        <v>15</v>
      </c>
      <c r="J55" t="s">
        <v>299</v>
      </c>
      <c r="K55">
        <f t="shared" si="0"/>
        <v>600</v>
      </c>
      <c r="L55">
        <f t="shared" si="1"/>
        <v>45</v>
      </c>
    </row>
    <row r="56" spans="1:12" x14ac:dyDescent="0.25">
      <c r="A56">
        <v>2018</v>
      </c>
      <c r="B56" t="s">
        <v>300</v>
      </c>
      <c r="C56">
        <v>7.7</v>
      </c>
      <c r="D56" t="s">
        <v>301</v>
      </c>
      <c r="E56" t="s">
        <v>302</v>
      </c>
      <c r="F56" t="s">
        <v>303</v>
      </c>
      <c r="G56" s="1">
        <v>43460</v>
      </c>
      <c r="H56" t="s">
        <v>184</v>
      </c>
      <c r="I56" t="s">
        <v>15</v>
      </c>
      <c r="J56" t="s">
        <v>304</v>
      </c>
      <c r="K56">
        <f t="shared" si="0"/>
        <v>450</v>
      </c>
      <c r="L56">
        <f t="shared" si="1"/>
        <v>40</v>
      </c>
    </row>
    <row r="57" spans="1:12" x14ac:dyDescent="0.25">
      <c r="A57">
        <v>2018</v>
      </c>
      <c r="B57" t="s">
        <v>305</v>
      </c>
      <c r="C57">
        <v>7.3</v>
      </c>
      <c r="D57" t="s">
        <v>306</v>
      </c>
      <c r="E57" t="s">
        <v>307</v>
      </c>
      <c r="F57" t="s">
        <v>308</v>
      </c>
      <c r="G57" s="1">
        <v>43203</v>
      </c>
      <c r="H57" t="s">
        <v>45</v>
      </c>
      <c r="I57" t="s">
        <v>15</v>
      </c>
      <c r="J57" t="s">
        <v>309</v>
      </c>
      <c r="K57">
        <f t="shared" si="0"/>
        <v>600</v>
      </c>
      <c r="L57">
        <f t="shared" si="1"/>
        <v>11.2</v>
      </c>
    </row>
    <row r="58" spans="1:12" x14ac:dyDescent="0.25">
      <c r="A58">
        <v>2018</v>
      </c>
      <c r="B58" t="s">
        <v>310</v>
      </c>
      <c r="C58">
        <v>8.6</v>
      </c>
      <c r="D58" t="s">
        <v>219</v>
      </c>
      <c r="E58" t="s">
        <v>311</v>
      </c>
      <c r="F58" t="s">
        <v>312</v>
      </c>
      <c r="G58" s="1">
        <v>43364</v>
      </c>
      <c r="H58" t="s">
        <v>76</v>
      </c>
      <c r="I58" t="s">
        <v>313</v>
      </c>
      <c r="J58" t="s">
        <v>314</v>
      </c>
      <c r="K58">
        <f t="shared" si="0"/>
        <v>300</v>
      </c>
      <c r="L58">
        <f t="shared" si="1"/>
        <v>4.8</v>
      </c>
    </row>
    <row r="59" spans="1:12" x14ac:dyDescent="0.25">
      <c r="A59">
        <v>2018</v>
      </c>
      <c r="B59" t="s">
        <v>315</v>
      </c>
      <c r="C59">
        <v>7.2</v>
      </c>
      <c r="D59" t="s">
        <v>168</v>
      </c>
      <c r="E59" t="s">
        <v>316</v>
      </c>
      <c r="F59" t="s">
        <v>317</v>
      </c>
      <c r="G59" s="1">
        <v>43329</v>
      </c>
      <c r="H59" t="s">
        <v>58</v>
      </c>
      <c r="I59" t="s">
        <v>15</v>
      </c>
      <c r="J59" t="s">
        <v>207</v>
      </c>
      <c r="K59">
        <f t="shared" si="0"/>
        <v>300</v>
      </c>
      <c r="L59">
        <f t="shared" si="1"/>
        <v>7.1</v>
      </c>
    </row>
    <row r="60" spans="1:12" x14ac:dyDescent="0.25">
      <c r="A60">
        <v>2018</v>
      </c>
      <c r="B60" t="s">
        <v>318</v>
      </c>
      <c r="C60">
        <v>7.7</v>
      </c>
      <c r="D60" t="s">
        <v>229</v>
      </c>
      <c r="E60" t="s">
        <v>319</v>
      </c>
      <c r="F60" t="s">
        <v>320</v>
      </c>
      <c r="G60" s="1">
        <v>43154</v>
      </c>
      <c r="H60" t="s">
        <v>321</v>
      </c>
      <c r="I60" t="s">
        <v>15</v>
      </c>
      <c r="J60" t="s">
        <v>84</v>
      </c>
      <c r="K60">
        <f t="shared" si="0"/>
        <v>600</v>
      </c>
      <c r="L60">
        <f t="shared" si="1"/>
        <v>5.2</v>
      </c>
    </row>
    <row r="61" spans="1:12" x14ac:dyDescent="0.25">
      <c r="A61">
        <v>2018</v>
      </c>
      <c r="B61" t="s">
        <v>322</v>
      </c>
      <c r="C61">
        <v>8.6</v>
      </c>
      <c r="D61" t="s">
        <v>219</v>
      </c>
      <c r="E61" t="s">
        <v>323</v>
      </c>
      <c r="F61" t="s">
        <v>190</v>
      </c>
      <c r="G61" s="1">
        <v>43420</v>
      </c>
      <c r="H61" t="s">
        <v>76</v>
      </c>
      <c r="I61" t="s">
        <v>15</v>
      </c>
      <c r="J61" t="s">
        <v>108</v>
      </c>
      <c r="K61">
        <f t="shared" si="0"/>
        <v>300</v>
      </c>
      <c r="L61">
        <f t="shared" si="1"/>
        <v>4.8</v>
      </c>
    </row>
    <row r="62" spans="1:12" x14ac:dyDescent="0.25">
      <c r="A62">
        <v>2019</v>
      </c>
      <c r="B62" t="s">
        <v>324</v>
      </c>
      <c r="C62">
        <v>8</v>
      </c>
      <c r="D62" t="s">
        <v>325</v>
      </c>
      <c r="E62" t="s">
        <v>326</v>
      </c>
      <c r="F62" t="s">
        <v>327</v>
      </c>
      <c r="G62" s="1">
        <v>43819</v>
      </c>
      <c r="H62" t="s">
        <v>328</v>
      </c>
      <c r="I62" t="s">
        <v>329</v>
      </c>
      <c r="J62" t="s">
        <v>330</v>
      </c>
      <c r="K62">
        <f t="shared" si="0"/>
        <v>480</v>
      </c>
      <c r="L62" t="str">
        <f t="shared" si="1"/>
        <v/>
      </c>
    </row>
    <row r="63" spans="1:12" x14ac:dyDescent="0.25">
      <c r="A63">
        <v>2019</v>
      </c>
      <c r="B63" t="s">
        <v>331</v>
      </c>
      <c r="C63">
        <v>8.6999999999999993</v>
      </c>
      <c r="D63" t="s">
        <v>332</v>
      </c>
      <c r="E63" t="s">
        <v>19</v>
      </c>
      <c r="F63" t="s">
        <v>333</v>
      </c>
      <c r="G63" s="1">
        <v>43650</v>
      </c>
      <c r="H63" t="s">
        <v>334</v>
      </c>
      <c r="I63" t="s">
        <v>15</v>
      </c>
      <c r="J63" t="s">
        <v>22</v>
      </c>
      <c r="K63">
        <f t="shared" si="0"/>
        <v>440</v>
      </c>
      <c r="L63" t="str">
        <f t="shared" si="1"/>
        <v/>
      </c>
    </row>
    <row r="64" spans="1:12" x14ac:dyDescent="0.25">
      <c r="A64">
        <v>2019</v>
      </c>
      <c r="B64" t="s">
        <v>295</v>
      </c>
      <c r="C64">
        <v>7.9</v>
      </c>
      <c r="D64" t="s">
        <v>335</v>
      </c>
      <c r="E64" t="s">
        <v>297</v>
      </c>
      <c r="F64" t="s">
        <v>336</v>
      </c>
      <c r="G64" s="1">
        <v>43511</v>
      </c>
      <c r="H64" t="s">
        <v>45</v>
      </c>
      <c r="I64" t="s">
        <v>15</v>
      </c>
      <c r="J64" t="s">
        <v>299</v>
      </c>
      <c r="K64">
        <f t="shared" si="0"/>
        <v>600</v>
      </c>
      <c r="L64">
        <f t="shared" si="1"/>
        <v>45</v>
      </c>
    </row>
    <row r="65" spans="1:12" x14ac:dyDescent="0.25">
      <c r="A65">
        <v>2019</v>
      </c>
      <c r="B65" t="s">
        <v>337</v>
      </c>
      <c r="C65">
        <v>8.3000000000000007</v>
      </c>
      <c r="D65" t="s">
        <v>301</v>
      </c>
      <c r="E65" t="s">
        <v>338</v>
      </c>
      <c r="F65" t="s">
        <v>339</v>
      </c>
      <c r="G65" s="1">
        <v>43476</v>
      </c>
      <c r="H65" t="s">
        <v>21</v>
      </c>
      <c r="I65" t="s">
        <v>90</v>
      </c>
      <c r="J65" t="s">
        <v>227</v>
      </c>
      <c r="K65">
        <f t="shared" si="0"/>
        <v>400</v>
      </c>
      <c r="L65">
        <f t="shared" si="1"/>
        <v>40</v>
      </c>
    </row>
    <row r="66" spans="1:12" x14ac:dyDescent="0.25">
      <c r="A66">
        <v>2019</v>
      </c>
      <c r="B66" t="s">
        <v>340</v>
      </c>
      <c r="C66">
        <v>8.9</v>
      </c>
      <c r="D66" t="s">
        <v>341</v>
      </c>
      <c r="E66" t="s">
        <v>342</v>
      </c>
      <c r="F66" t="s">
        <v>343</v>
      </c>
      <c r="G66" s="1">
        <v>43616</v>
      </c>
      <c r="H66" t="s">
        <v>344</v>
      </c>
      <c r="I66" t="s">
        <v>15</v>
      </c>
      <c r="J66" t="s">
        <v>345</v>
      </c>
      <c r="K66">
        <f t="shared" si="0"/>
        <v>296</v>
      </c>
      <c r="L66">
        <f t="shared" si="1"/>
        <v>25</v>
      </c>
    </row>
    <row r="67" spans="1:12" x14ac:dyDescent="0.25">
      <c r="A67">
        <v>2019</v>
      </c>
      <c r="B67" t="s">
        <v>346</v>
      </c>
      <c r="C67">
        <v>7.9</v>
      </c>
      <c r="D67" t="s">
        <v>279</v>
      </c>
      <c r="E67" t="s">
        <v>347</v>
      </c>
      <c r="F67" t="s">
        <v>348</v>
      </c>
      <c r="G67" s="1">
        <v>43588</v>
      </c>
      <c r="H67" t="s">
        <v>76</v>
      </c>
      <c r="I67" t="s">
        <v>15</v>
      </c>
      <c r="J67" t="s">
        <v>349</v>
      </c>
      <c r="K67">
        <f t="shared" ref="K67:K130" si="2">VALUE(_xlfn.TEXTBEFORE(_xlfn.TEXTAFTER(H67,"; ")," min"))</f>
        <v>300</v>
      </c>
      <c r="L67">
        <f t="shared" ref="L67:L130" si="3">IF(ISNUMBER(SEARCH("Views",D67)),VALUE(LEFT(D67,FIND("M",D67)-1)),"")</f>
        <v>30</v>
      </c>
    </row>
    <row r="68" spans="1:12" x14ac:dyDescent="0.25">
      <c r="A68">
        <v>2019</v>
      </c>
      <c r="B68" t="s">
        <v>350</v>
      </c>
      <c r="C68">
        <v>8.4</v>
      </c>
      <c r="D68" t="s">
        <v>351</v>
      </c>
      <c r="E68" t="s">
        <v>352</v>
      </c>
      <c r="F68" t="s">
        <v>352</v>
      </c>
      <c r="G68" s="1">
        <v>43532</v>
      </c>
      <c r="H68" t="s">
        <v>353</v>
      </c>
      <c r="I68" t="s">
        <v>90</v>
      </c>
      <c r="J68" t="s">
        <v>212</v>
      </c>
      <c r="K68">
        <f t="shared" si="2"/>
        <v>180</v>
      </c>
      <c r="L68">
        <f t="shared" si="3"/>
        <v>18</v>
      </c>
    </row>
    <row r="69" spans="1:12" x14ac:dyDescent="0.25">
      <c r="A69">
        <v>2019</v>
      </c>
      <c r="B69" t="s">
        <v>354</v>
      </c>
      <c r="C69">
        <v>8.3000000000000007</v>
      </c>
      <c r="D69" t="s">
        <v>355</v>
      </c>
      <c r="E69" t="s">
        <v>356</v>
      </c>
      <c r="F69" t="s">
        <v>357</v>
      </c>
      <c r="G69" s="1">
        <v>43490</v>
      </c>
      <c r="H69" t="s">
        <v>76</v>
      </c>
      <c r="I69" t="s">
        <v>358</v>
      </c>
      <c r="J69" t="s">
        <v>359</v>
      </c>
      <c r="K69">
        <f t="shared" si="2"/>
        <v>300</v>
      </c>
      <c r="L69">
        <f t="shared" si="3"/>
        <v>12</v>
      </c>
    </row>
    <row r="70" spans="1:12" x14ac:dyDescent="0.25">
      <c r="A70">
        <v>2019</v>
      </c>
      <c r="B70" t="s">
        <v>360</v>
      </c>
      <c r="C70">
        <v>8.4</v>
      </c>
      <c r="D70" t="s">
        <v>361</v>
      </c>
      <c r="E70" t="s">
        <v>362</v>
      </c>
      <c r="F70" t="s">
        <v>363</v>
      </c>
      <c r="G70" s="1">
        <v>43721</v>
      </c>
      <c r="H70" t="s">
        <v>364</v>
      </c>
      <c r="I70" t="s">
        <v>15</v>
      </c>
      <c r="J70" t="s">
        <v>84</v>
      </c>
      <c r="K70">
        <f t="shared" si="2"/>
        <v>400</v>
      </c>
      <c r="L70">
        <f t="shared" si="3"/>
        <v>44</v>
      </c>
    </row>
    <row r="71" spans="1:12" x14ac:dyDescent="0.25">
      <c r="A71">
        <v>2019</v>
      </c>
      <c r="B71" t="s">
        <v>365</v>
      </c>
      <c r="C71">
        <v>7.7</v>
      </c>
      <c r="D71" t="s">
        <v>366</v>
      </c>
      <c r="E71" t="s">
        <v>367</v>
      </c>
      <c r="F71" t="s">
        <v>367</v>
      </c>
      <c r="G71" s="1">
        <v>43497</v>
      </c>
      <c r="H71" t="s">
        <v>368</v>
      </c>
      <c r="I71" t="s">
        <v>15</v>
      </c>
      <c r="J71" t="s">
        <v>369</v>
      </c>
      <c r="K71">
        <f t="shared" si="2"/>
        <v>200</v>
      </c>
      <c r="L71">
        <f t="shared" si="3"/>
        <v>12.5</v>
      </c>
    </row>
    <row r="72" spans="1:12" x14ac:dyDescent="0.25">
      <c r="A72">
        <v>2019</v>
      </c>
      <c r="B72" t="s">
        <v>370</v>
      </c>
      <c r="C72">
        <v>9.3000000000000007</v>
      </c>
      <c r="D72" t="s">
        <v>371</v>
      </c>
      <c r="E72" t="s">
        <v>372</v>
      </c>
      <c r="F72" t="s">
        <v>373</v>
      </c>
      <c r="G72" s="1">
        <v>43560</v>
      </c>
      <c r="H72" t="s">
        <v>364</v>
      </c>
      <c r="I72" t="s">
        <v>90</v>
      </c>
      <c r="J72" t="s">
        <v>374</v>
      </c>
      <c r="K72">
        <f t="shared" si="2"/>
        <v>400</v>
      </c>
      <c r="L72">
        <f t="shared" si="3"/>
        <v>33</v>
      </c>
    </row>
    <row r="73" spans="1:12" x14ac:dyDescent="0.25">
      <c r="A73">
        <v>2019</v>
      </c>
      <c r="B73" t="s">
        <v>375</v>
      </c>
      <c r="C73">
        <v>8.4</v>
      </c>
      <c r="D73" t="s">
        <v>376</v>
      </c>
      <c r="E73" t="s">
        <v>377</v>
      </c>
      <c r="F73" t="s">
        <v>378</v>
      </c>
      <c r="G73" s="1">
        <v>43539</v>
      </c>
      <c r="H73" t="s">
        <v>379</v>
      </c>
      <c r="I73" t="s">
        <v>15</v>
      </c>
      <c r="J73" t="s">
        <v>380</v>
      </c>
      <c r="K73">
        <f t="shared" si="2"/>
        <v>200</v>
      </c>
      <c r="L73">
        <f t="shared" si="3"/>
        <v>15</v>
      </c>
    </row>
    <row r="74" spans="1:12" x14ac:dyDescent="0.25">
      <c r="A74">
        <v>2019</v>
      </c>
      <c r="B74" t="s">
        <v>381</v>
      </c>
      <c r="C74">
        <v>8.8000000000000007</v>
      </c>
      <c r="D74" t="s">
        <v>382</v>
      </c>
      <c r="E74" t="s">
        <v>383</v>
      </c>
      <c r="F74" t="s">
        <v>384</v>
      </c>
      <c r="G74" s="1">
        <v>43742</v>
      </c>
      <c r="H74" t="s">
        <v>385</v>
      </c>
      <c r="I74" t="s">
        <v>90</v>
      </c>
      <c r="J74" t="s">
        <v>386</v>
      </c>
      <c r="K74">
        <f t="shared" si="2"/>
        <v>360</v>
      </c>
      <c r="L74">
        <f t="shared" si="3"/>
        <v>30</v>
      </c>
    </row>
    <row r="75" spans="1:12" x14ac:dyDescent="0.25">
      <c r="A75">
        <v>2019</v>
      </c>
      <c r="B75" t="s">
        <v>387</v>
      </c>
      <c r="C75">
        <v>7.6</v>
      </c>
      <c r="D75" t="s">
        <v>160</v>
      </c>
      <c r="E75" t="s">
        <v>388</v>
      </c>
      <c r="F75" t="s">
        <v>389</v>
      </c>
      <c r="G75" s="1">
        <v>43728</v>
      </c>
      <c r="H75" t="s">
        <v>390</v>
      </c>
      <c r="I75" t="s">
        <v>90</v>
      </c>
      <c r="J75" t="s">
        <v>391</v>
      </c>
      <c r="K75">
        <f t="shared" si="2"/>
        <v>135</v>
      </c>
      <c r="L75">
        <f t="shared" si="3"/>
        <v>7.4</v>
      </c>
    </row>
    <row r="76" spans="1:12" x14ac:dyDescent="0.25">
      <c r="A76">
        <v>2019</v>
      </c>
      <c r="B76" t="s">
        <v>392</v>
      </c>
      <c r="C76">
        <v>8.1999999999999993</v>
      </c>
      <c r="D76" t="s">
        <v>258</v>
      </c>
      <c r="E76" t="s">
        <v>393</v>
      </c>
      <c r="F76" t="s">
        <v>393</v>
      </c>
      <c r="G76" s="1">
        <v>44339</v>
      </c>
      <c r="H76" t="s">
        <v>394</v>
      </c>
      <c r="I76" t="s">
        <v>15</v>
      </c>
      <c r="J76" t="s">
        <v>16</v>
      </c>
      <c r="K76">
        <f t="shared" si="2"/>
        <v>150</v>
      </c>
      <c r="L76">
        <f t="shared" si="3"/>
        <v>6.5</v>
      </c>
    </row>
    <row r="77" spans="1:12" x14ac:dyDescent="0.25">
      <c r="A77">
        <v>2019</v>
      </c>
      <c r="B77" t="s">
        <v>132</v>
      </c>
      <c r="C77">
        <v>7.5</v>
      </c>
      <c r="D77" t="s">
        <v>395</v>
      </c>
      <c r="E77" t="s">
        <v>134</v>
      </c>
      <c r="F77" t="s">
        <v>245</v>
      </c>
      <c r="G77" s="1">
        <v>43700</v>
      </c>
      <c r="H77" t="s">
        <v>396</v>
      </c>
      <c r="I77" t="s">
        <v>15</v>
      </c>
      <c r="J77" t="s">
        <v>247</v>
      </c>
      <c r="K77">
        <f t="shared" si="2"/>
        <v>780</v>
      </c>
      <c r="L77">
        <f t="shared" si="3"/>
        <v>35</v>
      </c>
    </row>
    <row r="78" spans="1:12" x14ac:dyDescent="0.25">
      <c r="A78">
        <v>2019</v>
      </c>
      <c r="B78" t="s">
        <v>397</v>
      </c>
      <c r="C78">
        <v>8.5</v>
      </c>
      <c r="D78" t="s">
        <v>398</v>
      </c>
      <c r="E78" t="s">
        <v>399</v>
      </c>
      <c r="F78" t="s">
        <v>400</v>
      </c>
      <c r="G78" s="1">
        <v>43539</v>
      </c>
      <c r="H78" t="s">
        <v>89</v>
      </c>
      <c r="I78" t="s">
        <v>15</v>
      </c>
      <c r="J78" t="s">
        <v>401</v>
      </c>
      <c r="K78">
        <f t="shared" si="2"/>
        <v>360</v>
      </c>
      <c r="L78">
        <f t="shared" si="3"/>
        <v>10</v>
      </c>
    </row>
    <row r="79" spans="1:12" x14ac:dyDescent="0.25">
      <c r="A79">
        <v>2019</v>
      </c>
      <c r="B79" t="s">
        <v>402</v>
      </c>
      <c r="C79">
        <v>7.9</v>
      </c>
      <c r="D79" t="s">
        <v>403</v>
      </c>
      <c r="E79" t="s">
        <v>404</v>
      </c>
      <c r="F79" t="s">
        <v>405</v>
      </c>
      <c r="G79" s="1">
        <v>43133</v>
      </c>
      <c r="H79" t="s">
        <v>45</v>
      </c>
      <c r="I79" t="s">
        <v>15</v>
      </c>
      <c r="J79" t="s">
        <v>406</v>
      </c>
      <c r="K79">
        <f t="shared" si="2"/>
        <v>600</v>
      </c>
      <c r="L79">
        <f t="shared" si="3"/>
        <v>8.3000000000000007</v>
      </c>
    </row>
    <row r="80" spans="1:12" x14ac:dyDescent="0.25">
      <c r="A80">
        <v>2019</v>
      </c>
      <c r="B80" t="s">
        <v>305</v>
      </c>
      <c r="C80">
        <v>7.3</v>
      </c>
      <c r="D80" t="s">
        <v>407</v>
      </c>
      <c r="E80" t="s">
        <v>307</v>
      </c>
      <c r="F80" t="s">
        <v>308</v>
      </c>
      <c r="G80" s="1">
        <v>43823</v>
      </c>
      <c r="H80" t="s">
        <v>408</v>
      </c>
      <c r="I80" t="s">
        <v>15</v>
      </c>
      <c r="J80" t="s">
        <v>309</v>
      </c>
      <c r="K80">
        <f t="shared" si="2"/>
        <v>550</v>
      </c>
      <c r="L80">
        <f t="shared" si="3"/>
        <v>11.2</v>
      </c>
    </row>
    <row r="81" spans="1:12" x14ac:dyDescent="0.25">
      <c r="A81">
        <v>2019</v>
      </c>
      <c r="B81" t="s">
        <v>409</v>
      </c>
      <c r="C81">
        <v>8.1999999999999993</v>
      </c>
      <c r="D81" t="s">
        <v>410</v>
      </c>
      <c r="E81" t="s">
        <v>411</v>
      </c>
      <c r="F81" t="s">
        <v>412</v>
      </c>
      <c r="G81" s="1">
        <v>43483</v>
      </c>
      <c r="H81" t="s">
        <v>413</v>
      </c>
      <c r="I81" t="s">
        <v>15</v>
      </c>
      <c r="J81" t="s">
        <v>222</v>
      </c>
      <c r="K81">
        <f t="shared" si="2"/>
        <v>390</v>
      </c>
      <c r="L81">
        <f t="shared" si="3"/>
        <v>9.5</v>
      </c>
    </row>
    <row r="82" spans="1:12" x14ac:dyDescent="0.25">
      <c r="A82">
        <v>2020</v>
      </c>
      <c r="B82" t="s">
        <v>414</v>
      </c>
      <c r="C82">
        <v>7.4</v>
      </c>
      <c r="D82" t="s">
        <v>415</v>
      </c>
      <c r="E82" t="s">
        <v>416</v>
      </c>
      <c r="F82" t="s">
        <v>417</v>
      </c>
      <c r="G82" s="1">
        <v>44190</v>
      </c>
      <c r="H82" t="s">
        <v>418</v>
      </c>
      <c r="I82" t="s">
        <v>15</v>
      </c>
      <c r="J82" t="s">
        <v>419</v>
      </c>
      <c r="K82">
        <f t="shared" si="2"/>
        <v>492</v>
      </c>
      <c r="L82">
        <f t="shared" si="3"/>
        <v>113.3</v>
      </c>
    </row>
    <row r="83" spans="1:12" x14ac:dyDescent="0.25">
      <c r="A83">
        <v>2020</v>
      </c>
      <c r="B83" t="s">
        <v>420</v>
      </c>
      <c r="C83">
        <v>8.6</v>
      </c>
      <c r="D83" t="s">
        <v>421</v>
      </c>
      <c r="E83" t="s">
        <v>422</v>
      </c>
      <c r="F83" t="s">
        <v>423</v>
      </c>
      <c r="G83" s="1">
        <v>44127</v>
      </c>
      <c r="H83" t="s">
        <v>424</v>
      </c>
      <c r="I83" t="s">
        <v>15</v>
      </c>
      <c r="J83" t="s">
        <v>425</v>
      </c>
      <c r="K83">
        <f t="shared" si="2"/>
        <v>393</v>
      </c>
      <c r="L83">
        <f t="shared" si="3"/>
        <v>112.8</v>
      </c>
    </row>
    <row r="84" spans="1:12" x14ac:dyDescent="0.25">
      <c r="A84">
        <v>2020</v>
      </c>
      <c r="B84" t="s">
        <v>426</v>
      </c>
      <c r="C84">
        <v>7.5</v>
      </c>
      <c r="D84" t="s">
        <v>427</v>
      </c>
      <c r="E84" t="s">
        <v>428</v>
      </c>
      <c r="F84" t="s">
        <v>429</v>
      </c>
      <c r="G84" s="1">
        <v>43910</v>
      </c>
      <c r="H84" t="s">
        <v>163</v>
      </c>
      <c r="I84" t="s">
        <v>15</v>
      </c>
      <c r="J84" t="s">
        <v>430</v>
      </c>
      <c r="K84">
        <f t="shared" si="2"/>
        <v>330</v>
      </c>
      <c r="L84">
        <f t="shared" si="3"/>
        <v>64</v>
      </c>
    </row>
    <row r="85" spans="1:12" x14ac:dyDescent="0.25">
      <c r="A85">
        <v>2020</v>
      </c>
      <c r="B85" t="s">
        <v>138</v>
      </c>
      <c r="C85">
        <v>8.1999999999999993</v>
      </c>
      <c r="D85" t="s">
        <v>431</v>
      </c>
      <c r="E85" t="s">
        <v>140</v>
      </c>
      <c r="F85" t="s">
        <v>432</v>
      </c>
      <c r="G85" s="1">
        <v>43924</v>
      </c>
      <c r="H85" t="s">
        <v>433</v>
      </c>
      <c r="I85" t="s">
        <v>143</v>
      </c>
      <c r="J85" t="s">
        <v>144</v>
      </c>
      <c r="K85">
        <f t="shared" si="2"/>
        <v>400</v>
      </c>
      <c r="L85" t="str">
        <f t="shared" si="3"/>
        <v/>
      </c>
    </row>
    <row r="86" spans="1:12" x14ac:dyDescent="0.25">
      <c r="A86">
        <v>2020</v>
      </c>
      <c r="B86" t="s">
        <v>434</v>
      </c>
      <c r="C86">
        <v>6.9</v>
      </c>
      <c r="D86" t="s">
        <v>435</v>
      </c>
      <c r="E86" t="s">
        <v>436</v>
      </c>
      <c r="F86" t="s">
        <v>437</v>
      </c>
      <c r="G86" s="1">
        <v>44106</v>
      </c>
      <c r="H86" t="s">
        <v>76</v>
      </c>
      <c r="I86" t="s">
        <v>438</v>
      </c>
      <c r="J86" t="s">
        <v>439</v>
      </c>
      <c r="K86">
        <f t="shared" si="2"/>
        <v>300</v>
      </c>
      <c r="L86">
        <f t="shared" si="3"/>
        <v>58</v>
      </c>
    </row>
    <row r="87" spans="1:12" x14ac:dyDescent="0.25">
      <c r="A87">
        <v>2020</v>
      </c>
      <c r="B87" t="s">
        <v>440</v>
      </c>
      <c r="C87">
        <v>7.5</v>
      </c>
      <c r="D87" t="s">
        <v>335</v>
      </c>
      <c r="E87" t="s">
        <v>441</v>
      </c>
      <c r="F87" t="s">
        <v>442</v>
      </c>
      <c r="G87" s="1">
        <v>43936</v>
      </c>
      <c r="H87" t="s">
        <v>158</v>
      </c>
      <c r="I87" t="s">
        <v>15</v>
      </c>
      <c r="J87" t="s">
        <v>443</v>
      </c>
      <c r="K87">
        <f t="shared" si="2"/>
        <v>500</v>
      </c>
      <c r="L87">
        <f t="shared" si="3"/>
        <v>45</v>
      </c>
    </row>
    <row r="88" spans="1:12" x14ac:dyDescent="0.25">
      <c r="A88">
        <v>2020</v>
      </c>
      <c r="B88" t="s">
        <v>444</v>
      </c>
      <c r="C88">
        <v>6.2</v>
      </c>
      <c r="D88" t="s">
        <v>445</v>
      </c>
      <c r="E88" t="s">
        <v>446</v>
      </c>
      <c r="F88" t="s">
        <v>447</v>
      </c>
      <c r="G88" s="1">
        <v>43874</v>
      </c>
      <c r="H88" t="s">
        <v>45</v>
      </c>
      <c r="I88" t="s">
        <v>15</v>
      </c>
      <c r="J88" t="s">
        <v>448</v>
      </c>
      <c r="K88">
        <f t="shared" si="2"/>
        <v>600</v>
      </c>
      <c r="L88" t="str">
        <f t="shared" si="3"/>
        <v/>
      </c>
    </row>
    <row r="89" spans="1:12" x14ac:dyDescent="0.25">
      <c r="A89">
        <v>2020</v>
      </c>
      <c r="B89" t="s">
        <v>449</v>
      </c>
      <c r="C89">
        <v>7.8</v>
      </c>
      <c r="D89" t="s">
        <v>450</v>
      </c>
      <c r="E89" t="s">
        <v>451</v>
      </c>
      <c r="F89" t="s">
        <v>452</v>
      </c>
      <c r="G89" s="1">
        <v>43948</v>
      </c>
      <c r="H89" t="s">
        <v>76</v>
      </c>
      <c r="I89" t="s">
        <v>15</v>
      </c>
      <c r="J89" t="s">
        <v>227</v>
      </c>
      <c r="K89">
        <f t="shared" si="2"/>
        <v>300</v>
      </c>
      <c r="L89">
        <f t="shared" si="3"/>
        <v>40</v>
      </c>
    </row>
    <row r="90" spans="1:12" x14ac:dyDescent="0.25">
      <c r="A90">
        <v>2020</v>
      </c>
      <c r="B90" t="s">
        <v>453</v>
      </c>
      <c r="C90">
        <v>7.3</v>
      </c>
      <c r="D90" t="s">
        <v>454</v>
      </c>
      <c r="E90" t="s">
        <v>455</v>
      </c>
      <c r="F90" t="s">
        <v>456</v>
      </c>
      <c r="G90" s="1">
        <v>44092</v>
      </c>
      <c r="H90" t="s">
        <v>328</v>
      </c>
      <c r="I90" t="s">
        <v>15</v>
      </c>
      <c r="J90" t="s">
        <v>457</v>
      </c>
      <c r="K90">
        <f t="shared" si="2"/>
        <v>480</v>
      </c>
      <c r="L90">
        <f t="shared" si="3"/>
        <v>48</v>
      </c>
    </row>
    <row r="91" spans="1:12" x14ac:dyDescent="0.25">
      <c r="A91">
        <v>2020</v>
      </c>
      <c r="B91" t="s">
        <v>458</v>
      </c>
      <c r="C91">
        <v>7.7</v>
      </c>
      <c r="D91" t="s">
        <v>459</v>
      </c>
      <c r="E91" t="s">
        <v>460</v>
      </c>
      <c r="F91" t="s">
        <v>461</v>
      </c>
      <c r="G91" s="1">
        <v>44175</v>
      </c>
      <c r="H91" t="s">
        <v>21</v>
      </c>
      <c r="I91" t="s">
        <v>462</v>
      </c>
      <c r="J91" t="s">
        <v>463</v>
      </c>
      <c r="K91">
        <f t="shared" si="2"/>
        <v>400</v>
      </c>
      <c r="L91">
        <f t="shared" si="3"/>
        <v>46.6</v>
      </c>
    </row>
    <row r="92" spans="1:12" x14ac:dyDescent="0.25">
      <c r="A92">
        <v>2020</v>
      </c>
      <c r="B92" t="s">
        <v>295</v>
      </c>
      <c r="C92">
        <v>7.9</v>
      </c>
      <c r="D92" t="s">
        <v>464</v>
      </c>
      <c r="E92" t="s">
        <v>297</v>
      </c>
      <c r="F92" t="s">
        <v>298</v>
      </c>
      <c r="G92" s="1">
        <v>44043</v>
      </c>
      <c r="H92" t="s">
        <v>82</v>
      </c>
      <c r="I92" t="s">
        <v>15</v>
      </c>
      <c r="J92" t="s">
        <v>299</v>
      </c>
      <c r="K92">
        <f t="shared" si="2"/>
        <v>500</v>
      </c>
      <c r="L92">
        <f t="shared" si="3"/>
        <v>43</v>
      </c>
    </row>
    <row r="93" spans="1:12" x14ac:dyDescent="0.25">
      <c r="A93">
        <v>2020</v>
      </c>
      <c r="B93" t="s">
        <v>465</v>
      </c>
      <c r="C93">
        <v>7.3</v>
      </c>
      <c r="D93" t="s">
        <v>466</v>
      </c>
      <c r="E93" t="s">
        <v>467</v>
      </c>
      <c r="F93" t="s">
        <v>468</v>
      </c>
      <c r="G93" s="1">
        <v>43868</v>
      </c>
      <c r="H93" t="s">
        <v>158</v>
      </c>
      <c r="I93" t="s">
        <v>15</v>
      </c>
      <c r="J93" t="s">
        <v>469</v>
      </c>
      <c r="K93">
        <f t="shared" si="2"/>
        <v>500</v>
      </c>
      <c r="L93" t="str">
        <f t="shared" si="3"/>
        <v/>
      </c>
    </row>
    <row r="94" spans="1:12" x14ac:dyDescent="0.25">
      <c r="A94">
        <v>2020</v>
      </c>
      <c r="B94" t="s">
        <v>470</v>
      </c>
      <c r="C94">
        <v>6.7</v>
      </c>
      <c r="D94" t="s">
        <v>450</v>
      </c>
      <c r="E94" t="s">
        <v>471</v>
      </c>
      <c r="F94" t="s">
        <v>472</v>
      </c>
      <c r="G94" s="1">
        <v>43980</v>
      </c>
      <c r="H94" t="s">
        <v>76</v>
      </c>
      <c r="I94" t="s">
        <v>15</v>
      </c>
      <c r="J94" t="s">
        <v>473</v>
      </c>
      <c r="K94">
        <f t="shared" si="2"/>
        <v>300</v>
      </c>
      <c r="L94">
        <f t="shared" si="3"/>
        <v>40</v>
      </c>
    </row>
    <row r="95" spans="1:12" x14ac:dyDescent="0.25">
      <c r="A95">
        <v>2020</v>
      </c>
      <c r="B95" t="s">
        <v>474</v>
      </c>
      <c r="C95">
        <v>4.3</v>
      </c>
      <c r="D95" t="s">
        <v>475</v>
      </c>
      <c r="E95" t="s">
        <v>476</v>
      </c>
      <c r="F95" t="s">
        <v>477</v>
      </c>
      <c r="G95" s="1">
        <v>43983</v>
      </c>
      <c r="H95" t="s">
        <v>353</v>
      </c>
      <c r="I95" t="s">
        <v>15</v>
      </c>
      <c r="J95" t="s">
        <v>478</v>
      </c>
      <c r="K95">
        <f t="shared" si="2"/>
        <v>180</v>
      </c>
      <c r="L95" t="str">
        <f t="shared" si="3"/>
        <v/>
      </c>
    </row>
    <row r="96" spans="1:12" x14ac:dyDescent="0.25">
      <c r="A96">
        <v>2020</v>
      </c>
      <c r="B96" t="s">
        <v>41</v>
      </c>
      <c r="C96">
        <v>8.6</v>
      </c>
      <c r="D96" t="s">
        <v>479</v>
      </c>
      <c r="E96" t="s">
        <v>43</v>
      </c>
      <c r="F96" t="s">
        <v>480</v>
      </c>
      <c r="G96" s="1">
        <v>44150</v>
      </c>
      <c r="H96" t="s">
        <v>481</v>
      </c>
      <c r="I96" t="s">
        <v>90</v>
      </c>
      <c r="J96" t="s">
        <v>47</v>
      </c>
      <c r="K96">
        <f t="shared" si="2"/>
        <v>550</v>
      </c>
      <c r="L96" t="str">
        <f t="shared" si="3"/>
        <v/>
      </c>
    </row>
    <row r="97" spans="1:12" x14ac:dyDescent="0.25">
      <c r="A97">
        <v>2020</v>
      </c>
      <c r="B97" t="s">
        <v>150</v>
      </c>
      <c r="C97">
        <v>8.5</v>
      </c>
      <c r="D97" t="s">
        <v>482</v>
      </c>
      <c r="E97" t="s">
        <v>152</v>
      </c>
      <c r="F97" t="s">
        <v>153</v>
      </c>
      <c r="G97" s="1">
        <v>43917</v>
      </c>
      <c r="H97" t="s">
        <v>483</v>
      </c>
      <c r="I97" t="s">
        <v>15</v>
      </c>
      <c r="J97" t="s">
        <v>84</v>
      </c>
      <c r="K97">
        <f t="shared" si="2"/>
        <v>600</v>
      </c>
      <c r="L97" t="str">
        <f t="shared" si="3"/>
        <v/>
      </c>
    </row>
    <row r="98" spans="1:12" x14ac:dyDescent="0.25">
      <c r="A98">
        <v>2020</v>
      </c>
      <c r="B98" t="s">
        <v>337</v>
      </c>
      <c r="C98">
        <v>8.3000000000000007</v>
      </c>
      <c r="D98" t="s">
        <v>484</v>
      </c>
      <c r="E98" t="s">
        <v>338</v>
      </c>
      <c r="F98" t="s">
        <v>485</v>
      </c>
      <c r="G98" s="1">
        <v>43847</v>
      </c>
      <c r="H98" t="s">
        <v>486</v>
      </c>
      <c r="I98" t="s">
        <v>90</v>
      </c>
      <c r="J98" t="s">
        <v>227</v>
      </c>
      <c r="K98">
        <f t="shared" si="2"/>
        <v>400</v>
      </c>
      <c r="L98">
        <f t="shared" si="3"/>
        <v>35</v>
      </c>
    </row>
    <row r="99" spans="1:12" x14ac:dyDescent="0.25">
      <c r="A99">
        <v>2020</v>
      </c>
      <c r="B99" t="s">
        <v>487</v>
      </c>
      <c r="C99">
        <v>7.3</v>
      </c>
      <c r="D99" t="s">
        <v>488</v>
      </c>
      <c r="E99" t="s">
        <v>489</v>
      </c>
      <c r="F99" t="s">
        <v>490</v>
      </c>
      <c r="G99" s="1">
        <v>43970</v>
      </c>
      <c r="H99" t="s">
        <v>158</v>
      </c>
      <c r="I99" t="s">
        <v>15</v>
      </c>
      <c r="J99" t="s">
        <v>491</v>
      </c>
      <c r="K99">
        <f t="shared" si="2"/>
        <v>500</v>
      </c>
      <c r="L99" t="str">
        <f t="shared" si="3"/>
        <v/>
      </c>
    </row>
    <row r="100" spans="1:12" x14ac:dyDescent="0.25">
      <c r="A100">
        <v>2020</v>
      </c>
      <c r="B100" t="s">
        <v>492</v>
      </c>
      <c r="C100">
        <v>8</v>
      </c>
      <c r="D100" t="s">
        <v>493</v>
      </c>
      <c r="E100" t="s">
        <v>494</v>
      </c>
      <c r="F100" t="s">
        <v>495</v>
      </c>
      <c r="G100" s="1">
        <v>43916</v>
      </c>
      <c r="H100" t="s">
        <v>496</v>
      </c>
      <c r="I100" t="s">
        <v>497</v>
      </c>
      <c r="J100" t="s">
        <v>498</v>
      </c>
      <c r="K100">
        <f t="shared" si="2"/>
        <v>213</v>
      </c>
      <c r="L100">
        <f t="shared" si="3"/>
        <v>52</v>
      </c>
    </row>
    <row r="101" spans="1:12" x14ac:dyDescent="0.25">
      <c r="A101">
        <v>2020</v>
      </c>
      <c r="B101" t="s">
        <v>499</v>
      </c>
      <c r="C101">
        <v>8.5</v>
      </c>
      <c r="D101" t="s">
        <v>500</v>
      </c>
      <c r="E101" t="s">
        <v>501</v>
      </c>
      <c r="F101" t="s">
        <v>502</v>
      </c>
      <c r="G101" s="1">
        <v>43965</v>
      </c>
      <c r="H101" t="s">
        <v>503</v>
      </c>
      <c r="I101" t="s">
        <v>164</v>
      </c>
      <c r="J101" t="s">
        <v>504</v>
      </c>
      <c r="K101">
        <f t="shared" si="2"/>
        <v>320</v>
      </c>
      <c r="L101" t="str">
        <f t="shared" si="3"/>
        <v/>
      </c>
    </row>
    <row r="102" spans="1:12" x14ac:dyDescent="0.25">
      <c r="A102">
        <v>2021</v>
      </c>
      <c r="B102" t="s">
        <v>505</v>
      </c>
      <c r="C102">
        <v>8</v>
      </c>
      <c r="D102" t="s">
        <v>506</v>
      </c>
      <c r="E102" t="s">
        <v>507</v>
      </c>
      <c r="F102" t="s">
        <v>508</v>
      </c>
      <c r="G102" s="1">
        <v>44456</v>
      </c>
      <c r="H102" t="s">
        <v>509</v>
      </c>
      <c r="I102" t="s">
        <v>358</v>
      </c>
      <c r="J102" t="s">
        <v>510</v>
      </c>
      <c r="K102">
        <f t="shared" si="2"/>
        <v>485</v>
      </c>
      <c r="L102">
        <f t="shared" si="3"/>
        <v>265.2</v>
      </c>
    </row>
    <row r="103" spans="1:12" x14ac:dyDescent="0.25">
      <c r="A103">
        <v>2021</v>
      </c>
      <c r="B103" t="s">
        <v>511</v>
      </c>
      <c r="C103">
        <v>7.5</v>
      </c>
      <c r="D103" t="s">
        <v>512</v>
      </c>
      <c r="E103" t="s">
        <v>388</v>
      </c>
      <c r="F103" t="s">
        <v>513</v>
      </c>
      <c r="G103" s="1">
        <v>44204</v>
      </c>
      <c r="H103" t="s">
        <v>514</v>
      </c>
      <c r="I103" t="s">
        <v>515</v>
      </c>
      <c r="J103" t="s">
        <v>516</v>
      </c>
      <c r="K103">
        <f t="shared" si="2"/>
        <v>225</v>
      </c>
      <c r="L103">
        <f t="shared" si="3"/>
        <v>76</v>
      </c>
    </row>
    <row r="104" spans="1:12" x14ac:dyDescent="0.25">
      <c r="A104">
        <v>2021</v>
      </c>
      <c r="B104" t="s">
        <v>517</v>
      </c>
      <c r="C104">
        <v>8.3000000000000007</v>
      </c>
      <c r="D104" t="s">
        <v>518</v>
      </c>
      <c r="E104" t="s">
        <v>519</v>
      </c>
      <c r="F104" t="s">
        <v>520</v>
      </c>
      <c r="G104" s="1">
        <v>44470</v>
      </c>
      <c r="H104" t="s">
        <v>521</v>
      </c>
      <c r="I104" t="s">
        <v>15</v>
      </c>
      <c r="J104" t="s">
        <v>498</v>
      </c>
      <c r="K104">
        <f t="shared" si="2"/>
        <v>544</v>
      </c>
      <c r="L104">
        <f t="shared" si="3"/>
        <v>67</v>
      </c>
    </row>
    <row r="105" spans="1:12" x14ac:dyDescent="0.25">
      <c r="A105">
        <v>2021</v>
      </c>
      <c r="B105" t="s">
        <v>522</v>
      </c>
      <c r="C105">
        <v>5.5</v>
      </c>
      <c r="D105" t="s">
        <v>518</v>
      </c>
      <c r="E105" t="s">
        <v>523</v>
      </c>
      <c r="F105" t="s">
        <v>524</v>
      </c>
      <c r="G105" s="1">
        <v>44372</v>
      </c>
      <c r="H105" t="s">
        <v>21</v>
      </c>
      <c r="I105" t="s">
        <v>15</v>
      </c>
      <c r="J105" t="s">
        <v>525</v>
      </c>
      <c r="K105">
        <f t="shared" si="2"/>
        <v>400</v>
      </c>
      <c r="L105">
        <f t="shared" si="3"/>
        <v>67</v>
      </c>
    </row>
    <row r="106" spans="1:12" x14ac:dyDescent="0.25">
      <c r="A106">
        <v>2021</v>
      </c>
      <c r="B106" t="s">
        <v>138</v>
      </c>
      <c r="C106">
        <v>8.1999999999999993</v>
      </c>
      <c r="D106" t="s">
        <v>526</v>
      </c>
      <c r="E106" t="s">
        <v>140</v>
      </c>
      <c r="F106" t="s">
        <v>432</v>
      </c>
      <c r="G106" s="1">
        <v>44442</v>
      </c>
      <c r="H106" t="s">
        <v>527</v>
      </c>
      <c r="I106" t="s">
        <v>143</v>
      </c>
      <c r="J106" t="s">
        <v>144</v>
      </c>
      <c r="K106">
        <f t="shared" si="2"/>
        <v>450</v>
      </c>
      <c r="L106" t="str">
        <f t="shared" si="3"/>
        <v/>
      </c>
    </row>
    <row r="107" spans="1:12" x14ac:dyDescent="0.25">
      <c r="A107">
        <v>2021</v>
      </c>
      <c r="B107" t="s">
        <v>528</v>
      </c>
      <c r="C107">
        <v>7.7</v>
      </c>
      <c r="D107" t="s">
        <v>529</v>
      </c>
      <c r="E107" t="s">
        <v>530</v>
      </c>
      <c r="F107" t="s">
        <v>531</v>
      </c>
      <c r="G107" s="1">
        <v>44351</v>
      </c>
      <c r="H107" t="s">
        <v>21</v>
      </c>
      <c r="I107" t="s">
        <v>15</v>
      </c>
      <c r="J107" t="s">
        <v>330</v>
      </c>
      <c r="K107">
        <f t="shared" si="2"/>
        <v>400</v>
      </c>
      <c r="L107">
        <f t="shared" si="3"/>
        <v>60</v>
      </c>
    </row>
    <row r="108" spans="1:12" x14ac:dyDescent="0.25">
      <c r="A108">
        <v>2021</v>
      </c>
      <c r="B108" t="s">
        <v>532</v>
      </c>
      <c r="C108">
        <v>7.5</v>
      </c>
      <c r="D108" t="s">
        <v>533</v>
      </c>
      <c r="E108" t="s">
        <v>534</v>
      </c>
      <c r="F108" t="s">
        <v>535</v>
      </c>
      <c r="G108" s="1">
        <v>44251</v>
      </c>
      <c r="H108" t="s">
        <v>536</v>
      </c>
      <c r="I108" t="s">
        <v>15</v>
      </c>
      <c r="J108" t="s">
        <v>238</v>
      </c>
      <c r="K108">
        <f t="shared" si="2"/>
        <v>587</v>
      </c>
      <c r="L108">
        <f t="shared" si="3"/>
        <v>118.2</v>
      </c>
    </row>
    <row r="109" spans="1:12" x14ac:dyDescent="0.25">
      <c r="A109">
        <v>2021</v>
      </c>
      <c r="B109" t="s">
        <v>537</v>
      </c>
      <c r="C109">
        <v>6.8</v>
      </c>
      <c r="D109" t="s">
        <v>538</v>
      </c>
      <c r="E109" t="s">
        <v>539</v>
      </c>
      <c r="F109" t="s">
        <v>540</v>
      </c>
      <c r="G109" s="1">
        <v>44218</v>
      </c>
      <c r="H109" t="s">
        <v>76</v>
      </c>
      <c r="I109" t="s">
        <v>541</v>
      </c>
      <c r="J109" t="s">
        <v>542</v>
      </c>
      <c r="K109">
        <f t="shared" si="2"/>
        <v>300</v>
      </c>
      <c r="L109">
        <f t="shared" si="3"/>
        <v>57</v>
      </c>
    </row>
    <row r="110" spans="1:12" x14ac:dyDescent="0.25">
      <c r="A110">
        <v>2021</v>
      </c>
      <c r="B110" t="s">
        <v>543</v>
      </c>
      <c r="C110">
        <v>7.5</v>
      </c>
      <c r="D110" t="s">
        <v>544</v>
      </c>
      <c r="E110" t="s">
        <v>545</v>
      </c>
      <c r="F110" t="s">
        <v>546</v>
      </c>
      <c r="G110" s="1">
        <v>44309</v>
      </c>
      <c r="H110" t="s">
        <v>21</v>
      </c>
      <c r="I110" t="s">
        <v>15</v>
      </c>
      <c r="J110" t="s">
        <v>330</v>
      </c>
      <c r="K110">
        <f t="shared" si="2"/>
        <v>400</v>
      </c>
      <c r="L110">
        <f t="shared" si="3"/>
        <v>55</v>
      </c>
    </row>
    <row r="111" spans="1:12" x14ac:dyDescent="0.25">
      <c r="A111">
        <v>2021</v>
      </c>
      <c r="B111" t="s">
        <v>337</v>
      </c>
      <c r="C111">
        <v>8.3000000000000007</v>
      </c>
      <c r="D111" t="s">
        <v>547</v>
      </c>
      <c r="E111" t="s">
        <v>338</v>
      </c>
      <c r="F111" t="s">
        <v>485</v>
      </c>
      <c r="G111" s="1">
        <v>44456</v>
      </c>
      <c r="H111" t="s">
        <v>548</v>
      </c>
      <c r="I111" t="s">
        <v>90</v>
      </c>
      <c r="J111" t="s">
        <v>227</v>
      </c>
      <c r="K111">
        <f t="shared" si="2"/>
        <v>450</v>
      </c>
      <c r="L111">
        <f t="shared" si="3"/>
        <v>55</v>
      </c>
    </row>
    <row r="112" spans="1:12" x14ac:dyDescent="0.25">
      <c r="A112">
        <v>2021</v>
      </c>
      <c r="B112" t="s">
        <v>549</v>
      </c>
      <c r="C112">
        <v>9</v>
      </c>
      <c r="D112" t="s">
        <v>550</v>
      </c>
      <c r="E112" t="s">
        <v>551</v>
      </c>
      <c r="F112" t="s">
        <v>552</v>
      </c>
      <c r="G112" s="1">
        <v>44506</v>
      </c>
      <c r="H112" t="s">
        <v>130</v>
      </c>
      <c r="I112" t="s">
        <v>438</v>
      </c>
      <c r="J112" t="s">
        <v>553</v>
      </c>
      <c r="K112">
        <f t="shared" si="2"/>
        <v>360</v>
      </c>
      <c r="L112" t="str">
        <f t="shared" si="3"/>
        <v/>
      </c>
    </row>
    <row r="113" spans="1:12" x14ac:dyDescent="0.25">
      <c r="A113">
        <v>2021</v>
      </c>
      <c r="B113" t="s">
        <v>554</v>
      </c>
      <c r="C113">
        <v>7.2</v>
      </c>
      <c r="D113" t="s">
        <v>493</v>
      </c>
      <c r="E113" t="s">
        <v>555</v>
      </c>
      <c r="F113" t="s">
        <v>556</v>
      </c>
      <c r="G113" s="1">
        <v>44433</v>
      </c>
      <c r="H113" t="s">
        <v>557</v>
      </c>
      <c r="I113" t="s">
        <v>558</v>
      </c>
      <c r="J113" t="s">
        <v>516</v>
      </c>
      <c r="K113">
        <f t="shared" si="2"/>
        <v>353</v>
      </c>
      <c r="L113">
        <f t="shared" si="3"/>
        <v>52</v>
      </c>
    </row>
    <row r="114" spans="1:12" x14ac:dyDescent="0.25">
      <c r="A114">
        <v>2021</v>
      </c>
      <c r="B114" t="s">
        <v>559</v>
      </c>
      <c r="C114">
        <v>7.7</v>
      </c>
      <c r="D114" t="s">
        <v>560</v>
      </c>
      <c r="E114" t="s">
        <v>264</v>
      </c>
      <c r="F114" t="s">
        <v>561</v>
      </c>
      <c r="G114" s="1">
        <v>44463</v>
      </c>
      <c r="H114" t="s">
        <v>562</v>
      </c>
      <c r="I114" t="s">
        <v>15</v>
      </c>
      <c r="J114" t="s">
        <v>563</v>
      </c>
      <c r="K114">
        <f t="shared" si="2"/>
        <v>440</v>
      </c>
      <c r="L114">
        <f t="shared" si="3"/>
        <v>12.1</v>
      </c>
    </row>
    <row r="115" spans="1:12" x14ac:dyDescent="0.25">
      <c r="A115">
        <v>2021</v>
      </c>
      <c r="B115" t="s">
        <v>564</v>
      </c>
      <c r="C115">
        <v>6.6</v>
      </c>
      <c r="D115" t="s">
        <v>565</v>
      </c>
      <c r="E115" t="s">
        <v>566</v>
      </c>
      <c r="F115" t="s">
        <v>567</v>
      </c>
      <c r="G115" s="1">
        <v>44519</v>
      </c>
      <c r="H115" t="s">
        <v>76</v>
      </c>
      <c r="I115" t="s">
        <v>358</v>
      </c>
      <c r="J115" t="s">
        <v>568</v>
      </c>
      <c r="K115">
        <f t="shared" si="2"/>
        <v>300</v>
      </c>
      <c r="L115" t="str">
        <f t="shared" si="3"/>
        <v/>
      </c>
    </row>
    <row r="116" spans="1:12" x14ac:dyDescent="0.25">
      <c r="A116">
        <v>2021</v>
      </c>
      <c r="B116" t="s">
        <v>569</v>
      </c>
      <c r="C116">
        <v>7.8</v>
      </c>
      <c r="D116" t="s">
        <v>570</v>
      </c>
      <c r="E116" t="s">
        <v>571</v>
      </c>
      <c r="F116" t="s">
        <v>572</v>
      </c>
      <c r="G116" s="1">
        <v>44484</v>
      </c>
      <c r="H116" t="s">
        <v>573</v>
      </c>
      <c r="I116" t="s">
        <v>358</v>
      </c>
      <c r="J116" t="s">
        <v>574</v>
      </c>
      <c r="K116">
        <f t="shared" si="2"/>
        <v>400</v>
      </c>
      <c r="L116" t="str">
        <f t="shared" si="3"/>
        <v/>
      </c>
    </row>
    <row r="117" spans="1:12" x14ac:dyDescent="0.25">
      <c r="A117">
        <v>2021</v>
      </c>
      <c r="B117" t="s">
        <v>575</v>
      </c>
      <c r="C117">
        <v>8.1999999999999993</v>
      </c>
      <c r="D117" t="s">
        <v>576</v>
      </c>
      <c r="E117" t="s">
        <v>577</v>
      </c>
      <c r="F117" t="s">
        <v>578</v>
      </c>
      <c r="G117" s="1">
        <v>44435</v>
      </c>
      <c r="H117" t="s">
        <v>76</v>
      </c>
      <c r="I117" t="s">
        <v>358</v>
      </c>
      <c r="J117" t="s">
        <v>579</v>
      </c>
      <c r="K117">
        <f t="shared" si="2"/>
        <v>300</v>
      </c>
      <c r="L117" t="str">
        <f t="shared" si="3"/>
        <v/>
      </c>
    </row>
    <row r="118" spans="1:12" x14ac:dyDescent="0.25">
      <c r="A118">
        <v>2021</v>
      </c>
      <c r="B118" t="s">
        <v>580</v>
      </c>
      <c r="C118">
        <v>7.6</v>
      </c>
      <c r="D118" t="s">
        <v>581</v>
      </c>
      <c r="E118" t="s">
        <v>582</v>
      </c>
      <c r="F118" t="s">
        <v>583</v>
      </c>
      <c r="G118" s="1">
        <v>44197</v>
      </c>
      <c r="H118" t="s">
        <v>584</v>
      </c>
      <c r="I118" t="s">
        <v>90</v>
      </c>
      <c r="J118" t="s">
        <v>585</v>
      </c>
      <c r="K118">
        <f t="shared" si="2"/>
        <v>464</v>
      </c>
      <c r="L118">
        <f t="shared" si="3"/>
        <v>31</v>
      </c>
    </row>
    <row r="119" spans="1:12" x14ac:dyDescent="0.25">
      <c r="A119">
        <v>2021</v>
      </c>
      <c r="B119" t="s">
        <v>586</v>
      </c>
      <c r="C119">
        <v>7.2</v>
      </c>
      <c r="D119" t="s">
        <v>587</v>
      </c>
      <c r="E119" t="s">
        <v>588</v>
      </c>
      <c r="F119" t="s">
        <v>589</v>
      </c>
      <c r="G119" s="1">
        <v>44244</v>
      </c>
      <c r="H119" t="s">
        <v>590</v>
      </c>
      <c r="I119" t="s">
        <v>90</v>
      </c>
      <c r="J119" t="s">
        <v>457</v>
      </c>
      <c r="K119">
        <f t="shared" si="2"/>
        <v>300</v>
      </c>
      <c r="L119">
        <f t="shared" si="3"/>
        <v>38</v>
      </c>
    </row>
    <row r="120" spans="1:12" x14ac:dyDescent="0.25">
      <c r="A120">
        <v>2021</v>
      </c>
      <c r="B120" t="s">
        <v>591</v>
      </c>
      <c r="C120">
        <v>6.7</v>
      </c>
      <c r="D120" t="s">
        <v>341</v>
      </c>
      <c r="E120" t="s">
        <v>592</v>
      </c>
      <c r="F120" t="s">
        <v>593</v>
      </c>
      <c r="G120" s="1">
        <v>44519</v>
      </c>
      <c r="H120" t="s">
        <v>158</v>
      </c>
      <c r="I120" t="s">
        <v>15</v>
      </c>
      <c r="J120" t="s">
        <v>594</v>
      </c>
      <c r="K120">
        <f t="shared" si="2"/>
        <v>500</v>
      </c>
      <c r="L120">
        <f t="shared" si="3"/>
        <v>25</v>
      </c>
    </row>
    <row r="121" spans="1:12" x14ac:dyDescent="0.25">
      <c r="A121">
        <v>2021</v>
      </c>
      <c r="B121" t="s">
        <v>595</v>
      </c>
      <c r="C121">
        <v>7.3</v>
      </c>
      <c r="D121" t="s">
        <v>596</v>
      </c>
      <c r="E121" t="s">
        <v>597</v>
      </c>
      <c r="F121" t="s">
        <v>598</v>
      </c>
      <c r="G121" s="1">
        <v>44575</v>
      </c>
      <c r="H121" t="s">
        <v>21</v>
      </c>
      <c r="I121" t="s">
        <v>15</v>
      </c>
      <c r="J121" t="s">
        <v>599</v>
      </c>
      <c r="K121">
        <f t="shared" si="2"/>
        <v>400</v>
      </c>
      <c r="L121" t="str">
        <f t="shared" si="3"/>
        <v/>
      </c>
    </row>
    <row r="122" spans="1:12" x14ac:dyDescent="0.25">
      <c r="A122">
        <v>2022</v>
      </c>
      <c r="B122" t="s">
        <v>600</v>
      </c>
      <c r="C122">
        <v>8.1</v>
      </c>
      <c r="D122" t="s">
        <v>601</v>
      </c>
      <c r="E122" t="s">
        <v>602</v>
      </c>
      <c r="F122" t="s">
        <v>603</v>
      </c>
      <c r="G122" s="1">
        <v>44888</v>
      </c>
      <c r="H122" t="s">
        <v>604</v>
      </c>
      <c r="I122" t="s">
        <v>15</v>
      </c>
      <c r="J122" t="s">
        <v>605</v>
      </c>
      <c r="K122">
        <f t="shared" si="2"/>
        <v>409</v>
      </c>
      <c r="L122">
        <f t="shared" si="3"/>
        <v>252.1</v>
      </c>
    </row>
    <row r="123" spans="1:12" x14ac:dyDescent="0.25">
      <c r="A123">
        <v>2022</v>
      </c>
      <c r="B123" t="s">
        <v>606</v>
      </c>
      <c r="C123">
        <v>8.6999999999999993</v>
      </c>
      <c r="D123" t="s">
        <v>607</v>
      </c>
      <c r="E123" t="s">
        <v>19</v>
      </c>
      <c r="F123" t="s">
        <v>333</v>
      </c>
      <c r="G123" s="1">
        <v>44708</v>
      </c>
      <c r="H123" t="s">
        <v>608</v>
      </c>
      <c r="I123" t="s">
        <v>15</v>
      </c>
      <c r="J123" t="s">
        <v>22</v>
      </c>
      <c r="K123">
        <f t="shared" si="2"/>
        <v>784</v>
      </c>
      <c r="L123">
        <f t="shared" si="3"/>
        <v>140.69999999999999</v>
      </c>
    </row>
    <row r="124" spans="1:12" x14ac:dyDescent="0.25">
      <c r="A124">
        <v>2022</v>
      </c>
      <c r="B124" t="s">
        <v>609</v>
      </c>
      <c r="C124">
        <v>7.9</v>
      </c>
      <c r="D124" t="s">
        <v>610</v>
      </c>
      <c r="E124" t="s">
        <v>455</v>
      </c>
      <c r="F124" t="s">
        <v>611</v>
      </c>
      <c r="G124" s="1">
        <v>44825</v>
      </c>
      <c r="H124" t="s">
        <v>612</v>
      </c>
      <c r="I124" t="s">
        <v>15</v>
      </c>
      <c r="J124" t="s">
        <v>613</v>
      </c>
      <c r="K124">
        <f t="shared" si="2"/>
        <v>535</v>
      </c>
      <c r="L124">
        <f t="shared" si="3"/>
        <v>115.6</v>
      </c>
    </row>
    <row r="125" spans="1:12" x14ac:dyDescent="0.25">
      <c r="A125">
        <v>2022</v>
      </c>
      <c r="B125" t="s">
        <v>614</v>
      </c>
      <c r="C125">
        <v>7.5</v>
      </c>
      <c r="D125" t="s">
        <v>615</v>
      </c>
      <c r="E125" t="s">
        <v>616</v>
      </c>
      <c r="F125" t="s">
        <v>617</v>
      </c>
      <c r="G125" s="1">
        <v>44589</v>
      </c>
      <c r="H125" t="s">
        <v>618</v>
      </c>
      <c r="I125" t="s">
        <v>358</v>
      </c>
      <c r="J125" t="s">
        <v>619</v>
      </c>
      <c r="K125">
        <f t="shared" si="2"/>
        <v>709</v>
      </c>
      <c r="L125" t="str">
        <f t="shared" si="3"/>
        <v/>
      </c>
    </row>
    <row r="126" spans="1:12" x14ac:dyDescent="0.25">
      <c r="A126">
        <v>2022</v>
      </c>
      <c r="B126" t="s">
        <v>620</v>
      </c>
      <c r="C126">
        <v>6.8</v>
      </c>
      <c r="D126" t="s">
        <v>621</v>
      </c>
      <c r="E126" t="s">
        <v>622</v>
      </c>
      <c r="F126" t="s">
        <v>623</v>
      </c>
      <c r="G126" s="1">
        <v>44603</v>
      </c>
      <c r="H126" t="s">
        <v>624</v>
      </c>
      <c r="I126" t="s">
        <v>15</v>
      </c>
      <c r="J126" t="s">
        <v>585</v>
      </c>
      <c r="K126">
        <f t="shared" si="2"/>
        <v>602</v>
      </c>
      <c r="L126" t="str">
        <f t="shared" si="3"/>
        <v/>
      </c>
    </row>
    <row r="127" spans="1:12" x14ac:dyDescent="0.25">
      <c r="A127">
        <v>2022</v>
      </c>
      <c r="B127" t="s">
        <v>150</v>
      </c>
      <c r="C127">
        <v>8.5</v>
      </c>
      <c r="D127" t="s">
        <v>151</v>
      </c>
      <c r="E127" t="s">
        <v>152</v>
      </c>
      <c r="F127" t="s">
        <v>625</v>
      </c>
      <c r="G127" s="1">
        <v>44582</v>
      </c>
      <c r="H127" t="s">
        <v>626</v>
      </c>
      <c r="I127" t="s">
        <v>15</v>
      </c>
      <c r="J127" t="s">
        <v>84</v>
      </c>
      <c r="K127">
        <f t="shared" si="2"/>
        <v>600</v>
      </c>
      <c r="L127" t="str">
        <f t="shared" si="3"/>
        <v/>
      </c>
    </row>
    <row r="128" spans="1:12" x14ac:dyDescent="0.25">
      <c r="A128">
        <v>2022</v>
      </c>
      <c r="B128" t="s">
        <v>627</v>
      </c>
      <c r="C128">
        <v>7.4</v>
      </c>
      <c r="D128" t="s">
        <v>628</v>
      </c>
      <c r="E128" t="s">
        <v>622</v>
      </c>
      <c r="F128" t="s">
        <v>629</v>
      </c>
      <c r="G128" s="1">
        <v>44645</v>
      </c>
      <c r="H128" t="s">
        <v>630</v>
      </c>
      <c r="I128" t="s">
        <v>15</v>
      </c>
      <c r="J128" t="s">
        <v>419</v>
      </c>
      <c r="K128">
        <f t="shared" si="2"/>
        <v>510</v>
      </c>
      <c r="L128" t="str">
        <f t="shared" si="3"/>
        <v/>
      </c>
    </row>
    <row r="129" spans="1:12" x14ac:dyDescent="0.25">
      <c r="A129">
        <v>2022</v>
      </c>
      <c r="B129" t="s">
        <v>631</v>
      </c>
      <c r="C129">
        <v>7.7</v>
      </c>
      <c r="D129" t="s">
        <v>632</v>
      </c>
      <c r="E129" t="s">
        <v>633</v>
      </c>
      <c r="F129" t="s">
        <v>634</v>
      </c>
      <c r="G129" s="1">
        <v>44778</v>
      </c>
      <c r="H129" t="s">
        <v>635</v>
      </c>
      <c r="I129" t="s">
        <v>636</v>
      </c>
      <c r="J129" t="s">
        <v>330</v>
      </c>
      <c r="K129">
        <f t="shared" si="2"/>
        <v>574</v>
      </c>
      <c r="L129" t="str">
        <f t="shared" si="3"/>
        <v/>
      </c>
    </row>
    <row r="130" spans="1:12" x14ac:dyDescent="0.25">
      <c r="A130">
        <v>2022</v>
      </c>
      <c r="B130" t="s">
        <v>637</v>
      </c>
      <c r="C130">
        <v>8.6</v>
      </c>
      <c r="D130" t="s">
        <v>638</v>
      </c>
      <c r="E130" t="s">
        <v>639</v>
      </c>
      <c r="F130" t="s">
        <v>640</v>
      </c>
      <c r="G130" s="1">
        <v>44741</v>
      </c>
      <c r="H130" t="s">
        <v>641</v>
      </c>
      <c r="I130" t="s">
        <v>358</v>
      </c>
      <c r="J130" t="s">
        <v>642</v>
      </c>
      <c r="K130">
        <f t="shared" si="2"/>
        <v>1120</v>
      </c>
      <c r="L130" t="str">
        <f t="shared" si="3"/>
        <v/>
      </c>
    </row>
    <row r="131" spans="1:12" x14ac:dyDescent="0.25">
      <c r="A131">
        <v>2022</v>
      </c>
      <c r="B131" t="s">
        <v>643</v>
      </c>
      <c r="C131">
        <v>7.1</v>
      </c>
      <c r="D131" t="s">
        <v>644</v>
      </c>
      <c r="E131" t="s">
        <v>645</v>
      </c>
      <c r="F131" t="s">
        <v>646</v>
      </c>
      <c r="G131" s="1">
        <v>44869</v>
      </c>
      <c r="H131" t="s">
        <v>647</v>
      </c>
      <c r="I131" t="s">
        <v>15</v>
      </c>
      <c r="J131" t="s">
        <v>605</v>
      </c>
      <c r="K131">
        <f t="shared" ref="K131:K194" si="4">VALUE(_xlfn.TEXTBEFORE(_xlfn.TEXTAFTER(H131,"; ")," min"))</f>
        <v>500</v>
      </c>
      <c r="L131" t="str">
        <f t="shared" ref="L131:L194" si="5">IF(ISNUMBER(SEARCH("Views",D131)),VALUE(LEFT(D131,FIND("M",D131)-1)),"")</f>
        <v/>
      </c>
    </row>
    <row r="132" spans="1:12" x14ac:dyDescent="0.25">
      <c r="A132">
        <v>2022</v>
      </c>
      <c r="B132" t="s">
        <v>648</v>
      </c>
      <c r="C132">
        <v>6.5</v>
      </c>
      <c r="D132" t="s">
        <v>649</v>
      </c>
      <c r="E132" t="s">
        <v>455</v>
      </c>
      <c r="F132" t="s">
        <v>650</v>
      </c>
      <c r="G132" s="1">
        <v>44847</v>
      </c>
      <c r="H132" t="s">
        <v>651</v>
      </c>
      <c r="I132" t="s">
        <v>15</v>
      </c>
      <c r="J132" t="s">
        <v>652</v>
      </c>
      <c r="K132">
        <f t="shared" si="4"/>
        <v>342</v>
      </c>
      <c r="L132">
        <f t="shared" si="5"/>
        <v>79.599999999999994</v>
      </c>
    </row>
    <row r="133" spans="1:12" x14ac:dyDescent="0.25">
      <c r="A133">
        <v>2022</v>
      </c>
      <c r="B133" t="s">
        <v>653</v>
      </c>
      <c r="C133">
        <v>8.6</v>
      </c>
      <c r="D133" t="s">
        <v>654</v>
      </c>
      <c r="E133" t="s">
        <v>655</v>
      </c>
      <c r="F133" t="s">
        <v>656</v>
      </c>
      <c r="G133" s="1">
        <v>44673</v>
      </c>
      <c r="H133" t="s">
        <v>113</v>
      </c>
      <c r="I133" t="s">
        <v>90</v>
      </c>
      <c r="J133" t="s">
        <v>657</v>
      </c>
      <c r="K133">
        <f t="shared" si="4"/>
        <v>240</v>
      </c>
      <c r="L133">
        <f t="shared" si="5"/>
        <v>5</v>
      </c>
    </row>
    <row r="134" spans="1:12" x14ac:dyDescent="0.25">
      <c r="A134">
        <v>2022</v>
      </c>
      <c r="B134">
        <v>1899</v>
      </c>
      <c r="C134">
        <v>7.3</v>
      </c>
      <c r="D134" t="s">
        <v>658</v>
      </c>
      <c r="E134" t="s">
        <v>659</v>
      </c>
      <c r="F134" t="s">
        <v>660</v>
      </c>
      <c r="G134" s="1">
        <v>44882</v>
      </c>
      <c r="H134" t="s">
        <v>21</v>
      </c>
      <c r="I134" t="s">
        <v>497</v>
      </c>
      <c r="J134" t="s">
        <v>179</v>
      </c>
      <c r="K134">
        <f t="shared" si="4"/>
        <v>400</v>
      </c>
      <c r="L134" t="str">
        <f t="shared" si="5"/>
        <v/>
      </c>
    </row>
    <row r="135" spans="1:12" x14ac:dyDescent="0.25">
      <c r="A135">
        <v>2022</v>
      </c>
      <c r="B135" t="s">
        <v>661</v>
      </c>
      <c r="C135">
        <v>7</v>
      </c>
      <c r="D135" t="s">
        <v>662</v>
      </c>
      <c r="E135" t="s">
        <v>663</v>
      </c>
      <c r="F135" t="s">
        <v>378</v>
      </c>
      <c r="G135" s="1">
        <v>44859</v>
      </c>
      <c r="H135" t="s">
        <v>573</v>
      </c>
      <c r="I135" t="s">
        <v>15</v>
      </c>
      <c r="J135" t="s">
        <v>664</v>
      </c>
      <c r="K135">
        <f t="shared" si="4"/>
        <v>400</v>
      </c>
      <c r="L135" t="str">
        <f t="shared" si="5"/>
        <v/>
      </c>
    </row>
    <row r="136" spans="1:12" x14ac:dyDescent="0.25">
      <c r="A136">
        <v>2022</v>
      </c>
      <c r="B136" t="s">
        <v>665</v>
      </c>
      <c r="C136">
        <v>7.8</v>
      </c>
      <c r="D136" t="s">
        <v>666</v>
      </c>
      <c r="E136" t="s">
        <v>667</v>
      </c>
      <c r="F136" t="s">
        <v>668</v>
      </c>
      <c r="G136" s="1">
        <v>44833</v>
      </c>
      <c r="H136" t="s">
        <v>130</v>
      </c>
      <c r="I136" t="s">
        <v>497</v>
      </c>
      <c r="J136" t="s">
        <v>425</v>
      </c>
      <c r="K136">
        <f t="shared" si="4"/>
        <v>360</v>
      </c>
      <c r="L136" t="str">
        <f t="shared" si="5"/>
        <v/>
      </c>
    </row>
    <row r="137" spans="1:12" x14ac:dyDescent="0.25">
      <c r="A137">
        <v>2022</v>
      </c>
      <c r="B137" t="s">
        <v>669</v>
      </c>
      <c r="C137">
        <v>8.5</v>
      </c>
      <c r="D137" t="s">
        <v>670</v>
      </c>
      <c r="E137" t="s">
        <v>671</v>
      </c>
      <c r="F137" t="s">
        <v>672</v>
      </c>
      <c r="G137" s="1">
        <v>44849</v>
      </c>
      <c r="H137" t="s">
        <v>673</v>
      </c>
      <c r="I137" t="s">
        <v>358</v>
      </c>
      <c r="J137" t="s">
        <v>125</v>
      </c>
      <c r="K137">
        <f t="shared" si="4"/>
        <v>960</v>
      </c>
      <c r="L137" t="str">
        <f t="shared" si="5"/>
        <v/>
      </c>
    </row>
    <row r="138" spans="1:12" x14ac:dyDescent="0.25">
      <c r="A138">
        <v>2022</v>
      </c>
      <c r="B138" t="s">
        <v>674</v>
      </c>
      <c r="C138">
        <v>8.1</v>
      </c>
      <c r="D138" t="s">
        <v>675</v>
      </c>
      <c r="E138" t="s">
        <v>676</v>
      </c>
      <c r="F138" t="s">
        <v>677</v>
      </c>
      <c r="G138" s="1">
        <v>44807</v>
      </c>
      <c r="H138" t="s">
        <v>678</v>
      </c>
      <c r="I138" t="s">
        <v>358</v>
      </c>
      <c r="J138" t="s">
        <v>679</v>
      </c>
      <c r="K138">
        <f t="shared" si="4"/>
        <v>720</v>
      </c>
      <c r="L138" t="str">
        <f t="shared" si="5"/>
        <v/>
      </c>
    </row>
    <row r="139" spans="1:12" x14ac:dyDescent="0.25">
      <c r="A139">
        <v>2022</v>
      </c>
      <c r="B139" t="s">
        <v>680</v>
      </c>
      <c r="C139">
        <v>8.6999999999999993</v>
      </c>
      <c r="D139" t="s">
        <v>681</v>
      </c>
      <c r="E139" t="s">
        <v>682</v>
      </c>
      <c r="F139" t="s">
        <v>683</v>
      </c>
      <c r="G139" s="1">
        <v>44730</v>
      </c>
      <c r="H139" t="s">
        <v>684</v>
      </c>
      <c r="I139" t="s">
        <v>358</v>
      </c>
      <c r="J139" t="s">
        <v>685</v>
      </c>
      <c r="K139">
        <f t="shared" si="4"/>
        <v>1800</v>
      </c>
      <c r="L139" t="str">
        <f t="shared" si="5"/>
        <v/>
      </c>
    </row>
    <row r="140" spans="1:12" x14ac:dyDescent="0.25">
      <c r="A140">
        <v>2022</v>
      </c>
      <c r="B140" t="s">
        <v>686</v>
      </c>
      <c r="C140">
        <v>7.5</v>
      </c>
      <c r="D140" t="s">
        <v>687</v>
      </c>
      <c r="E140" t="s">
        <v>688</v>
      </c>
      <c r="F140" t="s">
        <v>689</v>
      </c>
      <c r="G140" s="1">
        <v>44911</v>
      </c>
      <c r="H140" t="s">
        <v>21</v>
      </c>
      <c r="I140" t="s">
        <v>15</v>
      </c>
      <c r="J140" t="s">
        <v>690</v>
      </c>
      <c r="K140">
        <f t="shared" si="4"/>
        <v>400</v>
      </c>
      <c r="L140" t="str">
        <f t="shared" si="5"/>
        <v/>
      </c>
    </row>
    <row r="141" spans="1:12" x14ac:dyDescent="0.25">
      <c r="A141">
        <v>2022</v>
      </c>
      <c r="B141" t="s">
        <v>691</v>
      </c>
      <c r="C141">
        <v>5.9</v>
      </c>
      <c r="D141" t="s">
        <v>692</v>
      </c>
      <c r="E141" t="s">
        <v>693</v>
      </c>
      <c r="F141" t="s">
        <v>694</v>
      </c>
      <c r="G141" s="1">
        <v>44806</v>
      </c>
      <c r="H141" t="s">
        <v>695</v>
      </c>
      <c r="I141" t="s">
        <v>15</v>
      </c>
      <c r="J141" t="s">
        <v>599</v>
      </c>
      <c r="K141">
        <f t="shared" si="4"/>
        <v>360</v>
      </c>
      <c r="L141" t="str">
        <f t="shared" si="5"/>
        <v/>
      </c>
    </row>
    <row r="142" spans="1:12" x14ac:dyDescent="0.25">
      <c r="A142">
        <v>2023</v>
      </c>
      <c r="B142" t="s">
        <v>696</v>
      </c>
      <c r="C142">
        <v>7.5</v>
      </c>
      <c r="D142" t="s">
        <v>697</v>
      </c>
      <c r="E142" t="s">
        <v>698</v>
      </c>
      <c r="F142" t="s">
        <v>699</v>
      </c>
      <c r="G142" s="1">
        <v>45008</v>
      </c>
      <c r="H142" t="s">
        <v>700</v>
      </c>
      <c r="I142" t="s">
        <v>15</v>
      </c>
      <c r="J142" t="s">
        <v>701</v>
      </c>
      <c r="K142">
        <f t="shared" si="4"/>
        <v>491</v>
      </c>
      <c r="L142">
        <f t="shared" si="5"/>
        <v>99.2</v>
      </c>
    </row>
    <row r="143" spans="1:12" x14ac:dyDescent="0.25">
      <c r="A143">
        <v>2023</v>
      </c>
      <c r="B143" t="s">
        <v>702</v>
      </c>
      <c r="C143">
        <v>8.3000000000000007</v>
      </c>
      <c r="D143" t="s">
        <v>703</v>
      </c>
      <c r="E143" t="s">
        <v>704</v>
      </c>
      <c r="F143" t="s">
        <v>705</v>
      </c>
      <c r="G143" s="1">
        <v>45169</v>
      </c>
      <c r="H143" t="s">
        <v>706</v>
      </c>
      <c r="I143" t="s">
        <v>206</v>
      </c>
      <c r="J143" t="s">
        <v>707</v>
      </c>
      <c r="K143">
        <f t="shared" si="4"/>
        <v>451</v>
      </c>
      <c r="L143">
        <f t="shared" si="5"/>
        <v>71.599999999999994</v>
      </c>
    </row>
    <row r="144" spans="1:12" x14ac:dyDescent="0.25">
      <c r="A144">
        <v>2023</v>
      </c>
      <c r="B144" t="s">
        <v>708</v>
      </c>
      <c r="C144">
        <v>7.4</v>
      </c>
      <c r="D144" t="s">
        <v>709</v>
      </c>
      <c r="E144" t="s">
        <v>622</v>
      </c>
      <c r="F144" t="s">
        <v>710</v>
      </c>
      <c r="G144" s="1">
        <v>45050</v>
      </c>
      <c r="H144" t="s">
        <v>711</v>
      </c>
      <c r="I144" t="s">
        <v>15</v>
      </c>
      <c r="J144" t="s">
        <v>712</v>
      </c>
      <c r="K144">
        <f t="shared" si="4"/>
        <v>389</v>
      </c>
      <c r="L144">
        <f t="shared" si="5"/>
        <v>77.599999999999994</v>
      </c>
    </row>
    <row r="145" spans="1:12" x14ac:dyDescent="0.25">
      <c r="A145">
        <v>2023</v>
      </c>
      <c r="B145" t="s">
        <v>713</v>
      </c>
      <c r="C145">
        <v>8.1</v>
      </c>
      <c r="D145" t="s">
        <v>714</v>
      </c>
      <c r="E145" t="s">
        <v>715</v>
      </c>
      <c r="F145" t="s">
        <v>716</v>
      </c>
      <c r="G145" s="1">
        <v>44925</v>
      </c>
      <c r="H145" t="s">
        <v>717</v>
      </c>
      <c r="I145" t="s">
        <v>358</v>
      </c>
      <c r="J145" t="s">
        <v>718</v>
      </c>
      <c r="K145">
        <f t="shared" si="4"/>
        <v>856</v>
      </c>
      <c r="L145">
        <f t="shared" si="5"/>
        <v>43.7</v>
      </c>
    </row>
    <row r="146" spans="1:12" x14ac:dyDescent="0.25">
      <c r="A146">
        <v>2023</v>
      </c>
      <c r="B146" t="s">
        <v>719</v>
      </c>
      <c r="C146">
        <v>8</v>
      </c>
      <c r="D146" t="s">
        <v>720</v>
      </c>
      <c r="E146" t="s">
        <v>721</v>
      </c>
      <c r="F146" t="s">
        <v>722</v>
      </c>
      <c r="G146" s="1">
        <v>45036</v>
      </c>
      <c r="H146" t="s">
        <v>21</v>
      </c>
      <c r="I146" t="s">
        <v>15</v>
      </c>
      <c r="J146" t="s">
        <v>723</v>
      </c>
      <c r="K146">
        <f t="shared" si="4"/>
        <v>400</v>
      </c>
      <c r="L146">
        <f t="shared" si="5"/>
        <v>52.1</v>
      </c>
    </row>
    <row r="147" spans="1:12" x14ac:dyDescent="0.25">
      <c r="A147">
        <v>2023</v>
      </c>
      <c r="B147" t="s">
        <v>724</v>
      </c>
      <c r="C147">
        <v>7.5</v>
      </c>
      <c r="D147" t="s">
        <v>725</v>
      </c>
      <c r="E147" t="s">
        <v>534</v>
      </c>
      <c r="F147" t="s">
        <v>535</v>
      </c>
      <c r="G147" s="1">
        <v>44931</v>
      </c>
      <c r="H147" t="s">
        <v>726</v>
      </c>
      <c r="I147" t="s">
        <v>15</v>
      </c>
      <c r="J147" t="s">
        <v>238</v>
      </c>
      <c r="K147">
        <f t="shared" si="4"/>
        <v>587</v>
      </c>
      <c r="L147">
        <f t="shared" si="5"/>
        <v>68</v>
      </c>
    </row>
    <row r="148" spans="1:12" x14ac:dyDescent="0.25">
      <c r="A148">
        <v>2023</v>
      </c>
      <c r="B148" t="s">
        <v>727</v>
      </c>
      <c r="C148">
        <v>7.7</v>
      </c>
      <c r="D148" t="s">
        <v>728</v>
      </c>
      <c r="E148" t="s">
        <v>729</v>
      </c>
      <c r="F148" t="s">
        <v>303</v>
      </c>
      <c r="G148" s="1">
        <v>44966</v>
      </c>
      <c r="H148" t="s">
        <v>730</v>
      </c>
      <c r="I148" t="s">
        <v>15</v>
      </c>
      <c r="J148" t="s">
        <v>304</v>
      </c>
      <c r="K148">
        <f t="shared" si="4"/>
        <v>497</v>
      </c>
      <c r="L148">
        <f t="shared" si="5"/>
        <v>53.2</v>
      </c>
    </row>
    <row r="149" spans="1:12" x14ac:dyDescent="0.25">
      <c r="A149">
        <v>2023</v>
      </c>
      <c r="B149" t="s">
        <v>731</v>
      </c>
      <c r="C149">
        <v>7.5</v>
      </c>
      <c r="D149" t="s">
        <v>732</v>
      </c>
      <c r="E149" t="s">
        <v>441</v>
      </c>
      <c r="F149" t="s">
        <v>733</v>
      </c>
      <c r="G149" s="1">
        <v>44980</v>
      </c>
      <c r="H149" t="s">
        <v>734</v>
      </c>
      <c r="I149" t="s">
        <v>15</v>
      </c>
      <c r="J149" t="s">
        <v>443</v>
      </c>
      <c r="K149">
        <f t="shared" si="4"/>
        <v>533</v>
      </c>
      <c r="L149">
        <f t="shared" si="5"/>
        <v>45.3</v>
      </c>
    </row>
    <row r="150" spans="1:12" x14ac:dyDescent="0.25">
      <c r="A150">
        <v>2023</v>
      </c>
      <c r="B150" t="s">
        <v>735</v>
      </c>
      <c r="C150">
        <v>8.1</v>
      </c>
      <c r="D150" t="s">
        <v>736</v>
      </c>
      <c r="E150" t="s">
        <v>737</v>
      </c>
      <c r="F150" t="s">
        <v>738</v>
      </c>
      <c r="G150" s="1">
        <v>45203</v>
      </c>
      <c r="H150" t="s">
        <v>739</v>
      </c>
      <c r="I150" t="s">
        <v>90</v>
      </c>
      <c r="J150" t="s">
        <v>251</v>
      </c>
      <c r="K150">
        <f t="shared" si="4"/>
        <v>288</v>
      </c>
      <c r="L150">
        <f t="shared" si="5"/>
        <v>43.9</v>
      </c>
    </row>
    <row r="151" spans="1:12" x14ac:dyDescent="0.25">
      <c r="A151">
        <v>2023</v>
      </c>
      <c r="B151" t="s">
        <v>740</v>
      </c>
      <c r="C151">
        <v>7.3</v>
      </c>
      <c r="D151" t="s">
        <v>741</v>
      </c>
      <c r="E151" t="s">
        <v>742</v>
      </c>
      <c r="F151" t="s">
        <v>743</v>
      </c>
      <c r="G151" s="1">
        <v>45176</v>
      </c>
      <c r="H151" t="s">
        <v>744</v>
      </c>
      <c r="I151" t="s">
        <v>497</v>
      </c>
      <c r="J151" t="s">
        <v>745</v>
      </c>
      <c r="K151">
        <f t="shared" si="4"/>
        <v>288</v>
      </c>
      <c r="L151">
        <f t="shared" si="5"/>
        <v>50.9</v>
      </c>
    </row>
    <row r="152" spans="1:12" x14ac:dyDescent="0.25">
      <c r="A152">
        <v>2023</v>
      </c>
      <c r="B152" t="s">
        <v>746</v>
      </c>
      <c r="C152">
        <v>7</v>
      </c>
      <c r="D152" t="s">
        <v>747</v>
      </c>
      <c r="E152" t="s">
        <v>140</v>
      </c>
      <c r="F152" t="s">
        <v>748</v>
      </c>
      <c r="G152" s="1">
        <v>45289</v>
      </c>
      <c r="H152" t="s">
        <v>749</v>
      </c>
      <c r="I152" t="s">
        <v>143</v>
      </c>
      <c r="J152" t="s">
        <v>750</v>
      </c>
      <c r="K152">
        <f t="shared" si="4"/>
        <v>424</v>
      </c>
      <c r="L152">
        <f t="shared" si="5"/>
        <v>56.7</v>
      </c>
    </row>
    <row r="153" spans="1:12" x14ac:dyDescent="0.25">
      <c r="A153">
        <v>2023</v>
      </c>
      <c r="B153" t="s">
        <v>751</v>
      </c>
      <c r="C153">
        <v>7.3</v>
      </c>
      <c r="D153" t="s">
        <v>752</v>
      </c>
      <c r="E153" t="s">
        <v>753</v>
      </c>
      <c r="F153" t="s">
        <v>754</v>
      </c>
      <c r="G153" s="1">
        <v>45218</v>
      </c>
      <c r="H153" t="s">
        <v>755</v>
      </c>
      <c r="I153" t="s">
        <v>90</v>
      </c>
      <c r="J153" t="s">
        <v>756</v>
      </c>
      <c r="K153">
        <f t="shared" si="4"/>
        <v>480</v>
      </c>
      <c r="L153">
        <f t="shared" si="5"/>
        <v>15.3</v>
      </c>
    </row>
    <row r="154" spans="1:12" x14ac:dyDescent="0.25">
      <c r="A154">
        <v>2023</v>
      </c>
      <c r="B154" t="s">
        <v>757</v>
      </c>
      <c r="C154">
        <v>8.6999999999999993</v>
      </c>
      <c r="D154" t="s">
        <v>376</v>
      </c>
      <c r="E154" t="s">
        <v>758</v>
      </c>
      <c r="F154" t="s">
        <v>759</v>
      </c>
      <c r="G154" s="1">
        <v>45233</v>
      </c>
      <c r="H154" t="s">
        <v>130</v>
      </c>
      <c r="I154" t="s">
        <v>15</v>
      </c>
      <c r="J154" t="s">
        <v>553</v>
      </c>
      <c r="K154">
        <f t="shared" si="4"/>
        <v>360</v>
      </c>
      <c r="L154">
        <f t="shared" si="5"/>
        <v>15</v>
      </c>
    </row>
    <row r="155" spans="1:12" x14ac:dyDescent="0.25">
      <c r="A155">
        <v>2023</v>
      </c>
      <c r="B155" t="s">
        <v>760</v>
      </c>
      <c r="C155">
        <v>8</v>
      </c>
      <c r="D155" t="s">
        <v>155</v>
      </c>
      <c r="E155" t="s">
        <v>761</v>
      </c>
      <c r="F155" t="s">
        <v>762</v>
      </c>
      <c r="G155" s="1">
        <v>45022</v>
      </c>
      <c r="H155" t="s">
        <v>763</v>
      </c>
      <c r="I155" t="s">
        <v>15</v>
      </c>
      <c r="J155" t="s">
        <v>764</v>
      </c>
      <c r="K155">
        <f t="shared" si="4"/>
        <v>346</v>
      </c>
      <c r="L155">
        <f t="shared" si="5"/>
        <v>15.5</v>
      </c>
    </row>
    <row r="156" spans="1:12" x14ac:dyDescent="0.25">
      <c r="A156">
        <v>2023</v>
      </c>
      <c r="B156" t="s">
        <v>765</v>
      </c>
      <c r="C156">
        <v>6.2</v>
      </c>
      <c r="D156" t="s">
        <v>766</v>
      </c>
      <c r="E156" t="s">
        <v>446</v>
      </c>
      <c r="F156" t="s">
        <v>260</v>
      </c>
      <c r="G156" s="1">
        <v>45009</v>
      </c>
      <c r="H156" t="s">
        <v>626</v>
      </c>
      <c r="I156" t="s">
        <v>15</v>
      </c>
      <c r="J156" t="s">
        <v>448</v>
      </c>
      <c r="K156">
        <f t="shared" si="4"/>
        <v>600</v>
      </c>
      <c r="L156">
        <f t="shared" si="5"/>
        <v>21</v>
      </c>
    </row>
    <row r="157" spans="1:12" x14ac:dyDescent="0.25">
      <c r="A157">
        <v>2023</v>
      </c>
      <c r="B157" t="s">
        <v>767</v>
      </c>
      <c r="C157">
        <v>8.6999999999999993</v>
      </c>
      <c r="D157" t="s">
        <v>581</v>
      </c>
      <c r="E157" t="s">
        <v>87</v>
      </c>
      <c r="F157" t="s">
        <v>768</v>
      </c>
      <c r="G157" s="1">
        <v>45092</v>
      </c>
      <c r="H157" t="s">
        <v>769</v>
      </c>
      <c r="I157" t="s">
        <v>90</v>
      </c>
      <c r="J157" t="s">
        <v>380</v>
      </c>
      <c r="K157">
        <f t="shared" si="4"/>
        <v>300</v>
      </c>
      <c r="L157">
        <f t="shared" si="5"/>
        <v>31</v>
      </c>
    </row>
    <row r="158" spans="1:12" x14ac:dyDescent="0.25">
      <c r="A158">
        <v>2023</v>
      </c>
      <c r="B158" t="s">
        <v>770</v>
      </c>
      <c r="C158">
        <v>5.6</v>
      </c>
      <c r="D158" t="s">
        <v>771</v>
      </c>
      <c r="E158" t="s">
        <v>772</v>
      </c>
      <c r="F158" t="s">
        <v>773</v>
      </c>
      <c r="G158" s="1">
        <v>45077</v>
      </c>
      <c r="H158" t="s">
        <v>184</v>
      </c>
      <c r="I158" t="s">
        <v>774</v>
      </c>
      <c r="J158" t="s">
        <v>775</v>
      </c>
      <c r="K158">
        <f t="shared" si="4"/>
        <v>450</v>
      </c>
      <c r="L158">
        <f t="shared" si="5"/>
        <v>20</v>
      </c>
    </row>
    <row r="159" spans="1:12" x14ac:dyDescent="0.25">
      <c r="A159">
        <v>2023</v>
      </c>
      <c r="B159" t="s">
        <v>776</v>
      </c>
      <c r="C159">
        <v>7.7</v>
      </c>
      <c r="D159" t="s">
        <v>777</v>
      </c>
      <c r="E159" t="s">
        <v>778</v>
      </c>
      <c r="F159" t="s">
        <v>779</v>
      </c>
      <c r="G159" s="1">
        <v>45254</v>
      </c>
      <c r="H159" t="s">
        <v>780</v>
      </c>
      <c r="I159" t="s">
        <v>358</v>
      </c>
      <c r="J159" t="s">
        <v>781</v>
      </c>
      <c r="K159">
        <f t="shared" si="4"/>
        <v>1055</v>
      </c>
      <c r="L159">
        <f t="shared" si="5"/>
        <v>17.7</v>
      </c>
    </row>
    <row r="160" spans="1:12" x14ac:dyDescent="0.25">
      <c r="A160">
        <v>2023</v>
      </c>
      <c r="B160" t="s">
        <v>782</v>
      </c>
      <c r="C160">
        <v>8.1</v>
      </c>
      <c r="D160" t="s">
        <v>560</v>
      </c>
      <c r="E160" t="s">
        <v>783</v>
      </c>
      <c r="F160" t="s">
        <v>784</v>
      </c>
      <c r="G160" s="1">
        <v>45084</v>
      </c>
      <c r="H160" t="s">
        <v>785</v>
      </c>
      <c r="I160" t="s">
        <v>15</v>
      </c>
      <c r="J160" t="s">
        <v>108</v>
      </c>
      <c r="K160">
        <f t="shared" si="4"/>
        <v>180</v>
      </c>
      <c r="L160">
        <f t="shared" si="5"/>
        <v>12.1</v>
      </c>
    </row>
    <row r="161" spans="1:12" x14ac:dyDescent="0.25">
      <c r="A161">
        <v>2023</v>
      </c>
      <c r="B161" t="s">
        <v>786</v>
      </c>
      <c r="C161">
        <v>8.1</v>
      </c>
      <c r="D161" t="s">
        <v>306</v>
      </c>
      <c r="E161" t="s">
        <v>87</v>
      </c>
      <c r="F161" t="s">
        <v>787</v>
      </c>
      <c r="G161" s="1">
        <v>44957</v>
      </c>
      <c r="H161" t="s">
        <v>788</v>
      </c>
      <c r="I161" t="s">
        <v>90</v>
      </c>
      <c r="J161" t="s">
        <v>789</v>
      </c>
      <c r="K161">
        <f t="shared" si="4"/>
        <v>150</v>
      </c>
      <c r="L161">
        <f t="shared" si="5"/>
        <v>11.2</v>
      </c>
    </row>
    <row r="162" spans="1:12" x14ac:dyDescent="0.25">
      <c r="A162">
        <v>2024</v>
      </c>
      <c r="B162" t="s">
        <v>790</v>
      </c>
      <c r="C162">
        <v>6.8</v>
      </c>
      <c r="D162" t="s">
        <v>791</v>
      </c>
      <c r="E162" t="s">
        <v>792</v>
      </c>
      <c r="F162" t="s">
        <v>793</v>
      </c>
      <c r="G162" s="1">
        <v>45292</v>
      </c>
      <c r="H162" t="s">
        <v>794</v>
      </c>
      <c r="I162" t="s">
        <v>90</v>
      </c>
      <c r="J162" t="s">
        <v>795</v>
      </c>
      <c r="K162">
        <f t="shared" si="4"/>
        <v>385</v>
      </c>
      <c r="L162">
        <f t="shared" si="5"/>
        <v>107.5</v>
      </c>
    </row>
    <row r="163" spans="1:12" x14ac:dyDescent="0.25">
      <c r="A163">
        <v>2024</v>
      </c>
      <c r="B163" t="s">
        <v>796</v>
      </c>
      <c r="C163">
        <v>7.8</v>
      </c>
      <c r="D163" t="s">
        <v>797</v>
      </c>
      <c r="E163" t="s">
        <v>798</v>
      </c>
      <c r="F163" t="s">
        <v>798</v>
      </c>
      <c r="G163" s="1">
        <v>45393</v>
      </c>
      <c r="H163" t="s">
        <v>799</v>
      </c>
      <c r="I163" t="s">
        <v>90</v>
      </c>
      <c r="J163" t="s">
        <v>764</v>
      </c>
      <c r="K163">
        <f t="shared" si="4"/>
        <v>238</v>
      </c>
      <c r="L163">
        <f t="shared" si="5"/>
        <v>87.6</v>
      </c>
    </row>
    <row r="164" spans="1:12" x14ac:dyDescent="0.25">
      <c r="A164">
        <v>2024</v>
      </c>
      <c r="B164" t="s">
        <v>800</v>
      </c>
      <c r="C164">
        <v>8</v>
      </c>
      <c r="D164" t="s">
        <v>801</v>
      </c>
      <c r="E164" t="s">
        <v>507</v>
      </c>
      <c r="F164" t="s">
        <v>802</v>
      </c>
      <c r="G164" s="1">
        <v>45652</v>
      </c>
      <c r="H164" t="s">
        <v>803</v>
      </c>
      <c r="I164" t="s">
        <v>358</v>
      </c>
      <c r="J164" t="s">
        <v>510</v>
      </c>
      <c r="K164">
        <f t="shared" si="4"/>
        <v>430</v>
      </c>
      <c r="L164">
        <f t="shared" si="5"/>
        <v>192.6</v>
      </c>
    </row>
    <row r="165" spans="1:12" x14ac:dyDescent="0.25">
      <c r="A165">
        <v>2024</v>
      </c>
      <c r="B165" t="s">
        <v>804</v>
      </c>
      <c r="C165">
        <v>7.4</v>
      </c>
      <c r="D165" t="s">
        <v>805</v>
      </c>
      <c r="E165" t="s">
        <v>806</v>
      </c>
      <c r="F165" t="s">
        <v>807</v>
      </c>
      <c r="G165" s="1">
        <v>45428</v>
      </c>
      <c r="H165" t="s">
        <v>808</v>
      </c>
      <c r="I165" t="s">
        <v>15</v>
      </c>
      <c r="J165" t="s">
        <v>419</v>
      </c>
      <c r="K165">
        <f t="shared" si="4"/>
        <v>479</v>
      </c>
      <c r="L165">
        <f t="shared" si="5"/>
        <v>106</v>
      </c>
    </row>
    <row r="166" spans="1:12" x14ac:dyDescent="0.25">
      <c r="A166">
        <v>2024</v>
      </c>
      <c r="B166" t="s">
        <v>809</v>
      </c>
      <c r="C166">
        <v>8.1</v>
      </c>
      <c r="D166" t="s">
        <v>810</v>
      </c>
      <c r="E166" t="s">
        <v>811</v>
      </c>
      <c r="F166" t="s">
        <v>812</v>
      </c>
      <c r="G166" s="1">
        <v>45358</v>
      </c>
      <c r="H166" t="s">
        <v>813</v>
      </c>
      <c r="I166" t="s">
        <v>46</v>
      </c>
      <c r="J166" t="s">
        <v>814</v>
      </c>
      <c r="K166">
        <f t="shared" si="4"/>
        <v>401</v>
      </c>
      <c r="L166">
        <f t="shared" si="5"/>
        <v>75.900000000000006</v>
      </c>
    </row>
    <row r="167" spans="1:12" x14ac:dyDescent="0.25">
      <c r="A167">
        <v>2024</v>
      </c>
      <c r="B167" t="s">
        <v>815</v>
      </c>
      <c r="C167">
        <v>7.2</v>
      </c>
      <c r="D167" t="s">
        <v>816</v>
      </c>
      <c r="E167" t="s">
        <v>817</v>
      </c>
      <c r="F167" t="s">
        <v>818</v>
      </c>
      <c r="G167" s="1">
        <v>45344</v>
      </c>
      <c r="H167" t="s">
        <v>819</v>
      </c>
      <c r="I167" t="s">
        <v>15</v>
      </c>
      <c r="J167" t="s">
        <v>820</v>
      </c>
      <c r="K167">
        <f t="shared" si="4"/>
        <v>435</v>
      </c>
      <c r="L167">
        <f t="shared" si="5"/>
        <v>71.099999999999994</v>
      </c>
    </row>
    <row r="168" spans="1:12" x14ac:dyDescent="0.25">
      <c r="A168">
        <v>2024</v>
      </c>
      <c r="B168" t="s">
        <v>821</v>
      </c>
      <c r="C168">
        <v>7.2</v>
      </c>
      <c r="D168" t="s">
        <v>822</v>
      </c>
      <c r="E168" t="s">
        <v>823</v>
      </c>
      <c r="F168" t="s">
        <v>824</v>
      </c>
      <c r="G168" s="1">
        <v>45316</v>
      </c>
      <c r="H168" t="s">
        <v>825</v>
      </c>
      <c r="I168" t="s">
        <v>15</v>
      </c>
      <c r="J168" t="s">
        <v>826</v>
      </c>
      <c r="K168">
        <f t="shared" si="4"/>
        <v>332</v>
      </c>
      <c r="L168">
        <f t="shared" si="5"/>
        <v>69.2</v>
      </c>
    </row>
    <row r="169" spans="1:12" x14ac:dyDescent="0.25">
      <c r="A169">
        <v>2024</v>
      </c>
      <c r="B169" t="s">
        <v>827</v>
      </c>
      <c r="C169">
        <v>7.5</v>
      </c>
      <c r="D169" t="s">
        <v>828</v>
      </c>
      <c r="E169" t="s">
        <v>829</v>
      </c>
      <c r="F169" t="s">
        <v>830</v>
      </c>
      <c r="G169" s="1">
        <v>45372</v>
      </c>
      <c r="H169" t="s">
        <v>831</v>
      </c>
      <c r="I169" t="s">
        <v>636</v>
      </c>
      <c r="J169" t="s">
        <v>832</v>
      </c>
      <c r="K169">
        <f t="shared" si="4"/>
        <v>444</v>
      </c>
      <c r="L169">
        <f t="shared" si="5"/>
        <v>52.4</v>
      </c>
    </row>
    <row r="170" spans="1:12" x14ac:dyDescent="0.25">
      <c r="A170">
        <v>2024</v>
      </c>
      <c r="B170" t="s">
        <v>833</v>
      </c>
      <c r="C170">
        <v>6.5</v>
      </c>
      <c r="D170" t="s">
        <v>834</v>
      </c>
      <c r="E170" t="s">
        <v>835</v>
      </c>
      <c r="F170" t="s">
        <v>836</v>
      </c>
      <c r="G170" s="1">
        <v>45540</v>
      </c>
      <c r="H170" t="s">
        <v>837</v>
      </c>
      <c r="I170" t="s">
        <v>15</v>
      </c>
      <c r="J170" t="s">
        <v>795</v>
      </c>
      <c r="K170">
        <f t="shared" si="4"/>
        <v>306</v>
      </c>
      <c r="L170">
        <f t="shared" si="5"/>
        <v>75.099999999999994</v>
      </c>
    </row>
    <row r="171" spans="1:12" x14ac:dyDescent="0.25">
      <c r="A171">
        <v>2024</v>
      </c>
      <c r="B171" t="s">
        <v>838</v>
      </c>
      <c r="C171">
        <v>8.1</v>
      </c>
      <c r="D171" t="s">
        <v>839</v>
      </c>
      <c r="E171" t="s">
        <v>840</v>
      </c>
      <c r="F171" t="s">
        <v>841</v>
      </c>
      <c r="G171" s="1">
        <v>45330</v>
      </c>
      <c r="H171" t="s">
        <v>842</v>
      </c>
      <c r="I171" t="s">
        <v>90</v>
      </c>
      <c r="J171" t="s">
        <v>843</v>
      </c>
      <c r="K171">
        <f t="shared" si="4"/>
        <v>400</v>
      </c>
      <c r="L171">
        <f t="shared" si="5"/>
        <v>39.4</v>
      </c>
    </row>
    <row r="172" spans="1:12" x14ac:dyDescent="0.25">
      <c r="A172">
        <v>2024</v>
      </c>
      <c r="B172" t="s">
        <v>746</v>
      </c>
      <c r="C172">
        <v>7</v>
      </c>
      <c r="D172" t="s">
        <v>844</v>
      </c>
      <c r="E172" t="s">
        <v>140</v>
      </c>
      <c r="F172" t="s">
        <v>748</v>
      </c>
      <c r="G172" s="1">
        <v>45289</v>
      </c>
      <c r="H172" t="s">
        <v>749</v>
      </c>
      <c r="I172" t="s">
        <v>143</v>
      </c>
      <c r="J172" t="s">
        <v>750</v>
      </c>
      <c r="K172">
        <f t="shared" si="4"/>
        <v>424</v>
      </c>
      <c r="L172">
        <f t="shared" si="5"/>
        <v>48.5</v>
      </c>
    </row>
    <row r="173" spans="1:12" x14ac:dyDescent="0.25">
      <c r="A173">
        <v>2024</v>
      </c>
      <c r="B173" t="s">
        <v>845</v>
      </c>
      <c r="C173">
        <v>6.9</v>
      </c>
      <c r="D173" t="s">
        <v>846</v>
      </c>
      <c r="E173" t="s">
        <v>847</v>
      </c>
      <c r="F173" t="s">
        <v>848</v>
      </c>
      <c r="G173" s="1">
        <v>45408</v>
      </c>
      <c r="H173" t="s">
        <v>849</v>
      </c>
      <c r="I173" t="s">
        <v>143</v>
      </c>
      <c r="J173" t="s">
        <v>850</v>
      </c>
      <c r="K173">
        <f t="shared" si="4"/>
        <v>325</v>
      </c>
      <c r="L173">
        <f t="shared" si="5"/>
        <v>30.7</v>
      </c>
    </row>
    <row r="174" spans="1:12" x14ac:dyDescent="0.25">
      <c r="A174">
        <v>2024</v>
      </c>
      <c r="B174" t="s">
        <v>851</v>
      </c>
      <c r="C174">
        <v>5.2</v>
      </c>
      <c r="D174" t="s">
        <v>852</v>
      </c>
      <c r="E174" t="s">
        <v>853</v>
      </c>
      <c r="F174" t="s">
        <v>854</v>
      </c>
      <c r="G174" s="1">
        <v>45448</v>
      </c>
      <c r="H174" t="s">
        <v>855</v>
      </c>
      <c r="I174" t="s">
        <v>515</v>
      </c>
      <c r="J174" t="s">
        <v>856</v>
      </c>
      <c r="K174">
        <f t="shared" si="4"/>
        <v>104</v>
      </c>
      <c r="L174">
        <f t="shared" si="5"/>
        <v>84.7</v>
      </c>
    </row>
    <row r="175" spans="1:12" x14ac:dyDescent="0.25">
      <c r="A175">
        <v>2024</v>
      </c>
      <c r="B175" t="s">
        <v>857</v>
      </c>
      <c r="C175">
        <v>6.5</v>
      </c>
      <c r="D175" t="s">
        <v>858</v>
      </c>
      <c r="E175" t="s">
        <v>859</v>
      </c>
      <c r="F175" t="s">
        <v>860</v>
      </c>
      <c r="G175" s="1">
        <v>45638</v>
      </c>
      <c r="H175" t="s">
        <v>861</v>
      </c>
      <c r="I175" t="s">
        <v>862</v>
      </c>
      <c r="J175" t="s">
        <v>863</v>
      </c>
      <c r="K175">
        <f t="shared" si="4"/>
        <v>184</v>
      </c>
      <c r="L175">
        <f t="shared" si="5"/>
        <v>31.4</v>
      </c>
    </row>
    <row r="176" spans="1:12" x14ac:dyDescent="0.25">
      <c r="A176">
        <v>2024</v>
      </c>
      <c r="B176" t="s">
        <v>864</v>
      </c>
      <c r="C176">
        <v>7.2</v>
      </c>
      <c r="D176" t="s">
        <v>865</v>
      </c>
      <c r="E176" t="s">
        <v>866</v>
      </c>
      <c r="F176" t="s">
        <v>867</v>
      </c>
      <c r="G176" s="1">
        <v>45443</v>
      </c>
      <c r="H176" t="s">
        <v>868</v>
      </c>
      <c r="I176" t="s">
        <v>143</v>
      </c>
      <c r="J176" t="s">
        <v>869</v>
      </c>
      <c r="K176">
        <f t="shared" si="4"/>
        <v>363</v>
      </c>
      <c r="L176">
        <f t="shared" si="5"/>
        <v>25.4</v>
      </c>
    </row>
    <row r="177" spans="1:12" x14ac:dyDescent="0.25">
      <c r="A177">
        <v>2024</v>
      </c>
      <c r="B177" t="s">
        <v>870</v>
      </c>
      <c r="C177">
        <v>6.9</v>
      </c>
      <c r="D177" t="s">
        <v>865</v>
      </c>
      <c r="E177" t="s">
        <v>566</v>
      </c>
      <c r="F177" t="s">
        <v>871</v>
      </c>
      <c r="G177" s="1">
        <v>45387</v>
      </c>
      <c r="H177" t="s">
        <v>590</v>
      </c>
      <c r="I177" t="s">
        <v>358</v>
      </c>
      <c r="J177" t="s">
        <v>872</v>
      </c>
      <c r="K177">
        <f t="shared" si="4"/>
        <v>300</v>
      </c>
      <c r="L177">
        <f t="shared" si="5"/>
        <v>25.4</v>
      </c>
    </row>
    <row r="178" spans="1:12" x14ac:dyDescent="0.25">
      <c r="A178">
        <v>2024</v>
      </c>
      <c r="B178" t="s">
        <v>873</v>
      </c>
      <c r="C178">
        <v>8.1999999999999993</v>
      </c>
      <c r="D178" t="s">
        <v>874</v>
      </c>
      <c r="E178" t="s">
        <v>875</v>
      </c>
      <c r="F178" t="s">
        <v>876</v>
      </c>
      <c r="G178" s="1">
        <v>45360</v>
      </c>
      <c r="H178" t="s">
        <v>877</v>
      </c>
      <c r="I178" t="s">
        <v>358</v>
      </c>
      <c r="J178" t="s">
        <v>878</v>
      </c>
      <c r="K178">
        <f t="shared" si="4"/>
        <v>1402</v>
      </c>
      <c r="L178">
        <f t="shared" si="5"/>
        <v>29.2</v>
      </c>
    </row>
    <row r="179" spans="1:12" x14ac:dyDescent="0.25">
      <c r="A179">
        <v>2024</v>
      </c>
      <c r="B179" t="s">
        <v>879</v>
      </c>
      <c r="C179">
        <v>7.3</v>
      </c>
      <c r="D179" t="s">
        <v>771</v>
      </c>
      <c r="E179" t="s">
        <v>880</v>
      </c>
      <c r="F179" t="s">
        <v>881</v>
      </c>
      <c r="G179" s="1">
        <v>45484</v>
      </c>
      <c r="H179" t="s">
        <v>882</v>
      </c>
      <c r="I179" t="s">
        <v>15</v>
      </c>
      <c r="J179" t="s">
        <v>125</v>
      </c>
      <c r="K179">
        <f t="shared" si="4"/>
        <v>400</v>
      </c>
      <c r="L179">
        <f t="shared" si="5"/>
        <v>20</v>
      </c>
    </row>
    <row r="180" spans="1:12" x14ac:dyDescent="0.25">
      <c r="A180">
        <v>2024</v>
      </c>
      <c r="B180" t="s">
        <v>883</v>
      </c>
      <c r="C180">
        <v>7.6</v>
      </c>
      <c r="D180" t="s">
        <v>884</v>
      </c>
      <c r="E180" t="s">
        <v>885</v>
      </c>
      <c r="F180" t="s">
        <v>886</v>
      </c>
      <c r="G180" s="1">
        <v>45295</v>
      </c>
      <c r="H180" t="s">
        <v>887</v>
      </c>
      <c r="I180" t="s">
        <v>15</v>
      </c>
      <c r="J180" t="s">
        <v>888</v>
      </c>
      <c r="K180">
        <f t="shared" si="4"/>
        <v>440</v>
      </c>
      <c r="L180">
        <f t="shared" si="5"/>
        <v>23.9</v>
      </c>
    </row>
    <row r="181" spans="1:12" x14ac:dyDescent="0.25">
      <c r="A181">
        <v>2024</v>
      </c>
      <c r="B181" t="s">
        <v>889</v>
      </c>
      <c r="C181">
        <v>6.3</v>
      </c>
      <c r="D181" t="s">
        <v>890</v>
      </c>
      <c r="E181" t="s">
        <v>891</v>
      </c>
      <c r="F181" t="s">
        <v>892</v>
      </c>
      <c r="G181" s="1">
        <v>45352</v>
      </c>
      <c r="H181" t="s">
        <v>130</v>
      </c>
      <c r="I181" t="s">
        <v>515</v>
      </c>
      <c r="J181" t="s">
        <v>893</v>
      </c>
      <c r="K181">
        <f t="shared" si="4"/>
        <v>360</v>
      </c>
      <c r="L181">
        <f t="shared" si="5"/>
        <v>23.3</v>
      </c>
    </row>
    <row r="182" spans="1:12" x14ac:dyDescent="0.25">
      <c r="A182">
        <v>2025</v>
      </c>
      <c r="B182" t="s">
        <v>894</v>
      </c>
      <c r="C182">
        <v>8.8000000000000007</v>
      </c>
      <c r="D182" t="s">
        <v>895</v>
      </c>
      <c r="E182" t="s">
        <v>896</v>
      </c>
      <c r="F182" t="s">
        <v>897</v>
      </c>
      <c r="G182" s="1">
        <v>45729</v>
      </c>
      <c r="H182" t="s">
        <v>898</v>
      </c>
      <c r="I182" t="s">
        <v>90</v>
      </c>
      <c r="J182" t="s">
        <v>84</v>
      </c>
      <c r="K182">
        <f t="shared" si="4"/>
        <v>230</v>
      </c>
      <c r="L182">
        <f t="shared" si="5"/>
        <v>142.6</v>
      </c>
    </row>
    <row r="183" spans="1:12" x14ac:dyDescent="0.25">
      <c r="A183">
        <v>2025</v>
      </c>
      <c r="B183" t="s">
        <v>899</v>
      </c>
      <c r="C183">
        <v>8</v>
      </c>
      <c r="D183" t="s">
        <v>900</v>
      </c>
      <c r="E183" t="s">
        <v>507</v>
      </c>
      <c r="F183" t="s">
        <v>802</v>
      </c>
      <c r="G183" s="1">
        <v>45835</v>
      </c>
      <c r="H183" t="s">
        <v>901</v>
      </c>
      <c r="I183" t="s">
        <v>358</v>
      </c>
      <c r="J183" t="s">
        <v>510</v>
      </c>
      <c r="K183">
        <f t="shared" si="4"/>
        <v>368</v>
      </c>
      <c r="L183">
        <f t="shared" si="5"/>
        <v>145.80000000000001</v>
      </c>
    </row>
    <row r="184" spans="1:12" x14ac:dyDescent="0.25">
      <c r="A184">
        <v>2025</v>
      </c>
      <c r="B184" t="s">
        <v>902</v>
      </c>
      <c r="C184">
        <v>8.6999999999999993</v>
      </c>
      <c r="D184" t="s">
        <v>903</v>
      </c>
      <c r="E184" t="s">
        <v>19</v>
      </c>
      <c r="F184" t="s">
        <v>904</v>
      </c>
      <c r="G184" s="1">
        <v>45987</v>
      </c>
      <c r="H184" t="s">
        <v>905</v>
      </c>
      <c r="I184" t="s">
        <v>15</v>
      </c>
      <c r="J184" t="s">
        <v>22</v>
      </c>
      <c r="K184">
        <f t="shared" si="4"/>
        <v>624</v>
      </c>
      <c r="L184">
        <f t="shared" si="5"/>
        <v>133.80000000000001</v>
      </c>
    </row>
    <row r="185" spans="1:12" x14ac:dyDescent="0.25">
      <c r="A185">
        <v>2025</v>
      </c>
      <c r="B185" t="s">
        <v>906</v>
      </c>
      <c r="C185">
        <v>8.1</v>
      </c>
      <c r="D185" t="s">
        <v>907</v>
      </c>
      <c r="E185" t="s">
        <v>602</v>
      </c>
      <c r="F185" t="s">
        <v>603</v>
      </c>
      <c r="G185" s="1">
        <v>45875</v>
      </c>
      <c r="H185" t="s">
        <v>908</v>
      </c>
      <c r="I185" t="s">
        <v>15</v>
      </c>
      <c r="J185" t="s">
        <v>605</v>
      </c>
      <c r="K185">
        <f t="shared" si="4"/>
        <v>467</v>
      </c>
      <c r="L185">
        <f t="shared" si="5"/>
        <v>124</v>
      </c>
    </row>
    <row r="186" spans="1:12" x14ac:dyDescent="0.25">
      <c r="A186">
        <v>2025</v>
      </c>
      <c r="B186" t="s">
        <v>909</v>
      </c>
      <c r="C186">
        <v>7.5</v>
      </c>
      <c r="D186" t="s">
        <v>910</v>
      </c>
      <c r="E186" t="s">
        <v>911</v>
      </c>
      <c r="F186" t="s">
        <v>912</v>
      </c>
      <c r="G186" s="1">
        <v>45828</v>
      </c>
      <c r="H186" t="s">
        <v>913</v>
      </c>
      <c r="I186" t="s">
        <v>358</v>
      </c>
      <c r="J186" t="s">
        <v>914</v>
      </c>
      <c r="K186">
        <f t="shared" si="4"/>
        <v>400</v>
      </c>
      <c r="L186">
        <f t="shared" si="5"/>
        <v>482</v>
      </c>
    </row>
    <row r="187" spans="1:12" x14ac:dyDescent="0.25">
      <c r="A187">
        <v>2025</v>
      </c>
      <c r="B187" t="s">
        <v>915</v>
      </c>
      <c r="C187">
        <v>7.6</v>
      </c>
      <c r="D187" t="s">
        <v>916</v>
      </c>
      <c r="E187" t="s">
        <v>917</v>
      </c>
      <c r="F187" t="s">
        <v>918</v>
      </c>
      <c r="G187" s="1">
        <v>45658</v>
      </c>
      <c r="H187" t="s">
        <v>919</v>
      </c>
      <c r="I187" t="s">
        <v>15</v>
      </c>
      <c r="J187" t="s">
        <v>256</v>
      </c>
      <c r="K187">
        <f t="shared" si="4"/>
        <v>309</v>
      </c>
      <c r="L187">
        <f t="shared" si="5"/>
        <v>61.3</v>
      </c>
    </row>
    <row r="188" spans="1:12" x14ac:dyDescent="0.25">
      <c r="A188">
        <v>2025</v>
      </c>
      <c r="B188" t="s">
        <v>920</v>
      </c>
      <c r="C188">
        <v>7.1</v>
      </c>
      <c r="D188" t="s">
        <v>435</v>
      </c>
      <c r="E188" t="s">
        <v>467</v>
      </c>
      <c r="F188" t="s">
        <v>921</v>
      </c>
      <c r="G188" s="1">
        <v>45658</v>
      </c>
      <c r="H188" t="s">
        <v>922</v>
      </c>
      <c r="I188" t="s">
        <v>90</v>
      </c>
      <c r="J188" t="s">
        <v>84</v>
      </c>
      <c r="K188">
        <f t="shared" si="4"/>
        <v>226</v>
      </c>
      <c r="L188">
        <f t="shared" si="5"/>
        <v>58</v>
      </c>
    </row>
    <row r="189" spans="1:12" x14ac:dyDescent="0.25">
      <c r="A189">
        <v>2025</v>
      </c>
      <c r="B189" t="s">
        <v>923</v>
      </c>
      <c r="C189">
        <v>7.8</v>
      </c>
      <c r="D189" t="s">
        <v>924</v>
      </c>
      <c r="E189" t="s">
        <v>925</v>
      </c>
      <c r="F189" t="s">
        <v>926</v>
      </c>
      <c r="G189" s="1">
        <v>45855</v>
      </c>
      <c r="H189" t="s">
        <v>76</v>
      </c>
      <c r="I189" t="s">
        <v>15</v>
      </c>
      <c r="J189" t="s">
        <v>574</v>
      </c>
      <c r="K189">
        <f t="shared" si="4"/>
        <v>300</v>
      </c>
      <c r="L189">
        <f t="shared" si="5"/>
        <v>93</v>
      </c>
    </row>
    <row r="190" spans="1:12" x14ac:dyDescent="0.25">
      <c r="A190">
        <v>2025</v>
      </c>
      <c r="B190" t="s">
        <v>927</v>
      </c>
      <c r="C190">
        <v>7.2</v>
      </c>
      <c r="D190" t="s">
        <v>928</v>
      </c>
      <c r="E190" t="s">
        <v>929</v>
      </c>
      <c r="F190" t="s">
        <v>930</v>
      </c>
      <c r="G190" s="1">
        <v>45889</v>
      </c>
      <c r="H190" t="s">
        <v>21</v>
      </c>
      <c r="I190" t="s">
        <v>15</v>
      </c>
      <c r="J190" t="s">
        <v>498</v>
      </c>
      <c r="K190">
        <f t="shared" si="4"/>
        <v>400</v>
      </c>
      <c r="L190">
        <f t="shared" si="5"/>
        <v>76</v>
      </c>
    </row>
    <row r="191" spans="1:12" x14ac:dyDescent="0.25">
      <c r="A191">
        <v>2025</v>
      </c>
      <c r="B191" t="s">
        <v>931</v>
      </c>
      <c r="C191">
        <v>6.8</v>
      </c>
      <c r="D191" t="s">
        <v>932</v>
      </c>
      <c r="E191" t="s">
        <v>933</v>
      </c>
      <c r="F191" t="s">
        <v>934</v>
      </c>
      <c r="G191" s="1">
        <v>45658</v>
      </c>
      <c r="H191" t="s">
        <v>935</v>
      </c>
      <c r="I191" t="s">
        <v>358</v>
      </c>
      <c r="J191" t="s">
        <v>936</v>
      </c>
      <c r="K191">
        <f t="shared" si="4"/>
        <v>450</v>
      </c>
      <c r="L191">
        <f t="shared" si="5"/>
        <v>66</v>
      </c>
    </row>
    <row r="192" spans="1:12" x14ac:dyDescent="0.25">
      <c r="A192">
        <v>2025</v>
      </c>
      <c r="B192" t="s">
        <v>937</v>
      </c>
      <c r="C192">
        <v>8.5</v>
      </c>
      <c r="D192" t="s">
        <v>938</v>
      </c>
      <c r="E192" t="s">
        <v>939</v>
      </c>
      <c r="F192" t="s">
        <v>939</v>
      </c>
      <c r="G192" s="1">
        <v>45658</v>
      </c>
      <c r="H192" t="s">
        <v>940</v>
      </c>
      <c r="I192" t="s">
        <v>15</v>
      </c>
      <c r="J192" t="s">
        <v>941</v>
      </c>
      <c r="K192">
        <f t="shared" si="4"/>
        <v>300</v>
      </c>
      <c r="L192">
        <f t="shared" si="5"/>
        <v>73</v>
      </c>
    </row>
    <row r="193" spans="1:12" x14ac:dyDescent="0.25">
      <c r="A193">
        <v>2025</v>
      </c>
      <c r="B193" t="s">
        <v>942</v>
      </c>
      <c r="C193">
        <v>7.1</v>
      </c>
      <c r="D193" t="s">
        <v>943</v>
      </c>
      <c r="E193" t="s">
        <v>944</v>
      </c>
      <c r="F193" t="s">
        <v>945</v>
      </c>
      <c r="G193" s="1">
        <v>45839</v>
      </c>
      <c r="H193" t="s">
        <v>946</v>
      </c>
      <c r="I193" t="s">
        <v>15</v>
      </c>
      <c r="J193" t="s">
        <v>941</v>
      </c>
      <c r="K193">
        <f t="shared" si="4"/>
        <v>1000</v>
      </c>
      <c r="L193">
        <f t="shared" si="5"/>
        <v>108</v>
      </c>
    </row>
    <row r="194" spans="1:12" x14ac:dyDescent="0.25">
      <c r="A194">
        <v>2025</v>
      </c>
      <c r="B194" t="s">
        <v>947</v>
      </c>
      <c r="C194">
        <v>8.4</v>
      </c>
      <c r="D194" t="s">
        <v>948</v>
      </c>
      <c r="E194" t="s">
        <v>949</v>
      </c>
      <c r="F194" t="s">
        <v>950</v>
      </c>
      <c r="G194" s="1">
        <v>45658</v>
      </c>
      <c r="H194" t="s">
        <v>951</v>
      </c>
      <c r="I194" t="s">
        <v>358</v>
      </c>
      <c r="J194" t="s">
        <v>425</v>
      </c>
      <c r="K194">
        <f t="shared" si="4"/>
        <v>995</v>
      </c>
      <c r="L194">
        <f t="shared" si="5"/>
        <v>34.799999999999997</v>
      </c>
    </row>
    <row r="195" spans="1:12" x14ac:dyDescent="0.25">
      <c r="A195">
        <v>2025</v>
      </c>
      <c r="B195" t="s">
        <v>952</v>
      </c>
      <c r="C195">
        <v>8</v>
      </c>
      <c r="D195" t="s">
        <v>953</v>
      </c>
      <c r="E195" t="s">
        <v>954</v>
      </c>
      <c r="F195" t="s">
        <v>357</v>
      </c>
      <c r="G195" s="1">
        <v>45658</v>
      </c>
      <c r="H195" t="s">
        <v>955</v>
      </c>
      <c r="I195" t="s">
        <v>358</v>
      </c>
      <c r="J195" t="s">
        <v>956</v>
      </c>
      <c r="K195">
        <f t="shared" ref="K195:K201" si="6">VALUE(_xlfn.TEXTBEFORE(_xlfn.TEXTAFTER(H195,"; ")," min"))</f>
        <v>416</v>
      </c>
      <c r="L195">
        <f t="shared" ref="L195:L201" si="7">IF(ISNUMBER(SEARCH("Views",D195)),VALUE(LEFT(D195,FIND("M",D195)-1)),"")</f>
        <v>34.1</v>
      </c>
    </row>
    <row r="196" spans="1:12" x14ac:dyDescent="0.25">
      <c r="A196">
        <v>2025</v>
      </c>
      <c r="B196" t="s">
        <v>915</v>
      </c>
      <c r="C196">
        <v>7.6</v>
      </c>
      <c r="D196" t="s">
        <v>957</v>
      </c>
      <c r="E196" t="s">
        <v>917</v>
      </c>
      <c r="F196" t="s">
        <v>918</v>
      </c>
      <c r="G196" s="1">
        <v>45658</v>
      </c>
      <c r="H196" t="s">
        <v>590</v>
      </c>
      <c r="I196" t="s">
        <v>15</v>
      </c>
      <c r="J196" t="s">
        <v>256</v>
      </c>
      <c r="K196">
        <f t="shared" si="6"/>
        <v>300</v>
      </c>
      <c r="L196">
        <f t="shared" si="7"/>
        <v>61</v>
      </c>
    </row>
    <row r="197" spans="1:12" x14ac:dyDescent="0.25">
      <c r="A197">
        <v>2025</v>
      </c>
      <c r="B197" t="s">
        <v>958</v>
      </c>
      <c r="C197">
        <v>7.3</v>
      </c>
      <c r="D197" t="s">
        <v>959</v>
      </c>
      <c r="E197" t="s">
        <v>960</v>
      </c>
      <c r="F197" t="s">
        <v>961</v>
      </c>
      <c r="G197" s="1">
        <v>45717</v>
      </c>
      <c r="H197" t="s">
        <v>962</v>
      </c>
      <c r="I197" t="s">
        <v>963</v>
      </c>
      <c r="J197" t="s">
        <v>84</v>
      </c>
      <c r="K197">
        <f t="shared" si="6"/>
        <v>218</v>
      </c>
      <c r="L197">
        <f t="shared" si="7"/>
        <v>32.6</v>
      </c>
    </row>
    <row r="198" spans="1:12" x14ac:dyDescent="0.25">
      <c r="A198">
        <v>2025</v>
      </c>
      <c r="B198" t="s">
        <v>964</v>
      </c>
      <c r="C198">
        <v>7.5</v>
      </c>
      <c r="D198" t="s">
        <v>965</v>
      </c>
      <c r="E198" t="s">
        <v>966</v>
      </c>
      <c r="F198" t="s">
        <v>967</v>
      </c>
      <c r="G198" s="1">
        <v>45703</v>
      </c>
      <c r="H198" t="s">
        <v>968</v>
      </c>
      <c r="I198" t="s">
        <v>969</v>
      </c>
      <c r="J198" t="s">
        <v>84</v>
      </c>
      <c r="K198">
        <f t="shared" si="6"/>
        <v>224</v>
      </c>
      <c r="L198">
        <f t="shared" si="7"/>
        <v>33.799999999999997</v>
      </c>
    </row>
    <row r="199" spans="1:12" x14ac:dyDescent="0.25">
      <c r="A199">
        <v>2025</v>
      </c>
      <c r="B199" t="s">
        <v>970</v>
      </c>
      <c r="C199">
        <v>7.2</v>
      </c>
      <c r="D199" t="s">
        <v>971</v>
      </c>
      <c r="E199" t="s">
        <v>972</v>
      </c>
      <c r="F199" t="s">
        <v>973</v>
      </c>
      <c r="G199" s="1">
        <v>45658</v>
      </c>
      <c r="H199" t="s">
        <v>974</v>
      </c>
      <c r="I199" t="s">
        <v>143</v>
      </c>
      <c r="J199" t="s">
        <v>975</v>
      </c>
      <c r="K199">
        <f t="shared" si="6"/>
        <v>280</v>
      </c>
      <c r="L199">
        <f t="shared" si="7"/>
        <v>33.5</v>
      </c>
    </row>
    <row r="200" spans="1:12" x14ac:dyDescent="0.25">
      <c r="A200">
        <v>2025</v>
      </c>
      <c r="B200" t="s">
        <v>976</v>
      </c>
      <c r="C200">
        <v>6.7</v>
      </c>
      <c r="D200" t="s">
        <v>977</v>
      </c>
      <c r="E200" t="s">
        <v>451</v>
      </c>
      <c r="F200" t="s">
        <v>978</v>
      </c>
      <c r="G200" s="1">
        <v>45731</v>
      </c>
      <c r="H200" t="s">
        <v>979</v>
      </c>
      <c r="I200" t="s">
        <v>15</v>
      </c>
      <c r="J200" t="s">
        <v>222</v>
      </c>
      <c r="K200">
        <f t="shared" si="6"/>
        <v>304</v>
      </c>
      <c r="L200">
        <f t="shared" si="7"/>
        <v>41.3</v>
      </c>
    </row>
    <row r="201" spans="1:12" x14ac:dyDescent="0.25">
      <c r="A201">
        <v>2025</v>
      </c>
      <c r="B201" t="s">
        <v>980</v>
      </c>
      <c r="C201">
        <v>6.9</v>
      </c>
      <c r="D201" t="s">
        <v>839</v>
      </c>
      <c r="E201" t="s">
        <v>981</v>
      </c>
      <c r="F201" t="s">
        <v>982</v>
      </c>
      <c r="G201" s="1">
        <v>45748</v>
      </c>
      <c r="H201" t="s">
        <v>983</v>
      </c>
      <c r="I201" t="s">
        <v>15</v>
      </c>
      <c r="J201" t="s">
        <v>222</v>
      </c>
      <c r="K201">
        <f t="shared" si="6"/>
        <v>258</v>
      </c>
      <c r="L201">
        <f t="shared" si="7"/>
        <v>39.4</v>
      </c>
    </row>
    <row r="202" spans="1:12" x14ac:dyDescent="0.25">
      <c r="L202">
        <f>COUNT(L2:L201)</f>
        <v>142</v>
      </c>
    </row>
    <row r="203" spans="1:12" x14ac:dyDescent="0.25">
      <c r="L203" t="s">
        <v>998</v>
      </c>
    </row>
  </sheetData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0F22-E302-420A-A17F-7BD7DEB1EAFE}">
  <dimension ref="B2:F65"/>
  <sheetViews>
    <sheetView tabSelected="1" topLeftCell="A34" workbookViewId="0">
      <selection activeCell="F66" sqref="F66"/>
    </sheetView>
  </sheetViews>
  <sheetFormatPr defaultRowHeight="15" x14ac:dyDescent="0.25"/>
  <cols>
    <col min="2" max="2" width="22.85546875" customWidth="1"/>
    <col min="3" max="3" width="16.28515625" customWidth="1"/>
    <col min="4" max="4" width="16" customWidth="1"/>
    <col min="5" max="5" width="24.140625" customWidth="1"/>
    <col min="6" max="6" width="12.42578125" customWidth="1"/>
  </cols>
  <sheetData>
    <row r="2" spans="2:6" x14ac:dyDescent="0.25">
      <c r="B2" s="9" t="s">
        <v>1001</v>
      </c>
    </row>
    <row r="4" spans="2:6" x14ac:dyDescent="0.25">
      <c r="B4" s="9" t="s">
        <v>1002</v>
      </c>
      <c r="C4">
        <v>200</v>
      </c>
      <c r="E4" s="9" t="s">
        <v>1003</v>
      </c>
      <c r="F4">
        <v>142</v>
      </c>
    </row>
    <row r="6" spans="2:6" x14ac:dyDescent="0.25">
      <c r="B6" t="s">
        <v>1004</v>
      </c>
      <c r="C6" t="s">
        <v>1006</v>
      </c>
      <c r="E6" t="s">
        <v>1005</v>
      </c>
      <c r="F6">
        <v>7.7</v>
      </c>
    </row>
    <row r="9" spans="2:6" x14ac:dyDescent="0.25">
      <c r="B9" s="10" t="s">
        <v>1007</v>
      </c>
      <c r="C9" s="10" t="s">
        <v>1008</v>
      </c>
    </row>
    <row r="10" spans="2:6" x14ac:dyDescent="0.25">
      <c r="B10" s="4" t="s">
        <v>90</v>
      </c>
      <c r="C10">
        <v>23</v>
      </c>
    </row>
    <row r="11" spans="2:6" x14ac:dyDescent="0.25">
      <c r="B11" s="4" t="s">
        <v>358</v>
      </c>
      <c r="C11">
        <v>20</v>
      </c>
    </row>
    <row r="12" spans="2:6" x14ac:dyDescent="0.25">
      <c r="B12" s="4" t="s">
        <v>15</v>
      </c>
      <c r="C12">
        <v>115</v>
      </c>
    </row>
    <row r="13" spans="2:6" x14ac:dyDescent="0.25">
      <c r="B13" s="4" t="s">
        <v>143</v>
      </c>
      <c r="C13">
        <v>9</v>
      </c>
    </row>
    <row r="27" spans="2:3" x14ac:dyDescent="0.25">
      <c r="B27" s="7" t="s">
        <v>8</v>
      </c>
      <c r="C27" s="7" t="s">
        <v>993</v>
      </c>
    </row>
    <row r="28" spans="2:3" x14ac:dyDescent="0.25">
      <c r="B28" s="4" t="s">
        <v>90</v>
      </c>
      <c r="C28" s="8">
        <v>8.1391304347826079</v>
      </c>
    </row>
    <row r="29" spans="2:3" x14ac:dyDescent="0.25">
      <c r="B29" s="4" t="s">
        <v>358</v>
      </c>
      <c r="C29" s="8">
        <v>7.8950000000000005</v>
      </c>
    </row>
    <row r="30" spans="2:3" x14ac:dyDescent="0.25">
      <c r="B30" s="4" t="s">
        <v>15</v>
      </c>
      <c r="C30" s="8">
        <v>7.6356521739130443</v>
      </c>
    </row>
    <row r="31" spans="2:3" x14ac:dyDescent="0.25">
      <c r="B31" s="4" t="s">
        <v>143</v>
      </c>
      <c r="C31" s="8">
        <v>7.4555555555555548</v>
      </c>
    </row>
    <row r="43" spans="2:5" x14ac:dyDescent="0.25">
      <c r="B43" s="9" t="s">
        <v>1009</v>
      </c>
    </row>
    <row r="44" spans="2:5" x14ac:dyDescent="0.25">
      <c r="B44" s="7" t="s">
        <v>1011</v>
      </c>
      <c r="C44" s="7" t="s">
        <v>1010</v>
      </c>
      <c r="D44" s="7" t="s">
        <v>993</v>
      </c>
      <c r="E44" s="7" t="s">
        <v>1000</v>
      </c>
    </row>
    <row r="45" spans="2:5" x14ac:dyDescent="0.25">
      <c r="B45" s="4" t="s">
        <v>84</v>
      </c>
      <c r="C45" s="6">
        <v>13</v>
      </c>
      <c r="D45" s="8">
        <v>8.184615384615384</v>
      </c>
      <c r="E45" s="8">
        <v>43.062500000000007</v>
      </c>
    </row>
    <row r="46" spans="2:5" x14ac:dyDescent="0.25">
      <c r="B46" s="4" t="s">
        <v>227</v>
      </c>
      <c r="C46" s="6">
        <v>5</v>
      </c>
      <c r="D46" s="8">
        <v>8.1800000000000015</v>
      </c>
      <c r="E46" s="8">
        <v>35.619999999999997</v>
      </c>
    </row>
    <row r="65" spans="5:6" x14ac:dyDescent="0.25">
      <c r="E65" t="s">
        <v>1012</v>
      </c>
      <c r="F65">
        <v>6.4000000000000003E-3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01_Netflix_2016_2025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Liaci</dc:creator>
  <cp:lastModifiedBy>Vanessa Liaci</cp:lastModifiedBy>
  <dcterms:created xsi:type="dcterms:W3CDTF">2026-08-25T14:08:40Z</dcterms:created>
  <dcterms:modified xsi:type="dcterms:W3CDTF">2026-08-28T15:34:14Z</dcterms:modified>
</cp:coreProperties>
</file>